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daisjadoon\Documents\"/>
    </mc:Choice>
  </mc:AlternateContent>
  <xr:revisionPtr revIDLastSave="0" documentId="8_{AC3C44B4-94DA-47D0-8F4C-36974B899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 Data" sheetId="1" r:id="rId1"/>
    <sheet name="Attend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4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3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I7" i="1"/>
  <c r="I8" i="1"/>
  <c r="I11" i="1"/>
  <c r="I12" i="1"/>
  <c r="I15" i="1"/>
  <c r="I16" i="1"/>
  <c r="I19" i="1"/>
  <c r="I20" i="1"/>
  <c r="I23" i="1"/>
  <c r="I27" i="1"/>
  <c r="I28" i="1"/>
  <c r="I31" i="1"/>
  <c r="I32" i="1"/>
  <c r="I35" i="1"/>
  <c r="I36" i="1"/>
  <c r="I39" i="1"/>
  <c r="I40" i="1"/>
  <c r="I43" i="1"/>
  <c r="I44" i="1"/>
  <c r="I47" i="1"/>
  <c r="I48" i="1"/>
  <c r="I51" i="1"/>
  <c r="I52" i="1"/>
  <c r="I55" i="1"/>
  <c r="I57" i="1"/>
  <c r="I60" i="1"/>
  <c r="I67" i="1"/>
  <c r="I71" i="1"/>
  <c r="I75" i="1"/>
  <c r="I76" i="1"/>
  <c r="I79" i="1"/>
  <c r="I80" i="1"/>
  <c r="I83" i="1"/>
  <c r="I84" i="1"/>
  <c r="I87" i="1"/>
  <c r="I88" i="1"/>
  <c r="I91" i="1"/>
  <c r="I92" i="1"/>
  <c r="I95" i="1"/>
  <c r="I96" i="1"/>
  <c r="I99" i="1"/>
  <c r="I100" i="1"/>
  <c r="I103" i="1"/>
  <c r="I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Q5" i="1"/>
  <c r="S5" i="1" s="1"/>
  <c r="Q6" i="1"/>
  <c r="S6" i="1" s="1"/>
  <c r="Q7" i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S103" i="1" s="1"/>
  <c r="R4" i="1"/>
  <c r="Q4" i="1"/>
  <c r="S4" i="1" s="1"/>
  <c r="H7" i="1"/>
  <c r="H8" i="1"/>
  <c r="H9" i="1"/>
  <c r="I9" i="1" s="1"/>
  <c r="H10" i="1"/>
  <c r="I10" i="1" s="1"/>
  <c r="H11" i="1"/>
  <c r="H12" i="1"/>
  <c r="H13" i="1"/>
  <c r="I13" i="1" s="1"/>
  <c r="H14" i="1"/>
  <c r="I14" i="1" s="1"/>
  <c r="H15" i="1"/>
  <c r="H16" i="1"/>
  <c r="H17" i="1"/>
  <c r="I17" i="1" s="1"/>
  <c r="H18" i="1"/>
  <c r="I18" i="1" s="1"/>
  <c r="H19" i="1"/>
  <c r="H20" i="1"/>
  <c r="H21" i="1"/>
  <c r="I21" i="1" s="1"/>
  <c r="H22" i="1"/>
  <c r="I22" i="1" s="1"/>
  <c r="H23" i="1"/>
  <c r="H24" i="1"/>
  <c r="I24" i="1" s="1"/>
  <c r="H25" i="1"/>
  <c r="I25" i="1" s="1"/>
  <c r="H26" i="1"/>
  <c r="I26" i="1" s="1"/>
  <c r="H27" i="1"/>
  <c r="H28" i="1"/>
  <c r="H29" i="1"/>
  <c r="I29" i="1" s="1"/>
  <c r="H30" i="1"/>
  <c r="I30" i="1" s="1"/>
  <c r="H31" i="1"/>
  <c r="H32" i="1"/>
  <c r="H33" i="1"/>
  <c r="I33" i="1" s="1"/>
  <c r="H34" i="1"/>
  <c r="I34" i="1" s="1"/>
  <c r="H35" i="1"/>
  <c r="H36" i="1"/>
  <c r="H37" i="1"/>
  <c r="I37" i="1" s="1"/>
  <c r="H38" i="1"/>
  <c r="I38" i="1" s="1"/>
  <c r="H39" i="1"/>
  <c r="H40" i="1"/>
  <c r="H41" i="1"/>
  <c r="I41" i="1" s="1"/>
  <c r="H42" i="1"/>
  <c r="I42" i="1" s="1"/>
  <c r="H43" i="1"/>
  <c r="H44" i="1"/>
  <c r="H45" i="1"/>
  <c r="I45" i="1" s="1"/>
  <c r="H46" i="1"/>
  <c r="I46" i="1" s="1"/>
  <c r="H47" i="1"/>
  <c r="H48" i="1"/>
  <c r="H49" i="1"/>
  <c r="I49" i="1" s="1"/>
  <c r="H50" i="1"/>
  <c r="I50" i="1" s="1"/>
  <c r="H51" i="1"/>
  <c r="H52" i="1"/>
  <c r="H53" i="1"/>
  <c r="I53" i="1" s="1"/>
  <c r="H54" i="1"/>
  <c r="I54" i="1" s="1"/>
  <c r="H55" i="1"/>
  <c r="H56" i="1"/>
  <c r="I56" i="1" s="1"/>
  <c r="H57" i="1"/>
  <c r="H58" i="1"/>
  <c r="I58" i="1" s="1"/>
  <c r="H59" i="1"/>
  <c r="I59" i="1" s="1"/>
  <c r="H60" i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H68" i="1"/>
  <c r="I68" i="1" s="1"/>
  <c r="H69" i="1"/>
  <c r="I69" i="1" s="1"/>
  <c r="H70" i="1"/>
  <c r="I70" i="1" s="1"/>
  <c r="H71" i="1"/>
  <c r="H72" i="1"/>
  <c r="I72" i="1" s="1"/>
  <c r="H73" i="1"/>
  <c r="I73" i="1" s="1"/>
  <c r="H74" i="1"/>
  <c r="I74" i="1" s="1"/>
  <c r="H75" i="1"/>
  <c r="H76" i="1"/>
  <c r="H77" i="1"/>
  <c r="I77" i="1" s="1"/>
  <c r="H78" i="1"/>
  <c r="I78" i="1" s="1"/>
  <c r="H79" i="1"/>
  <c r="H80" i="1"/>
  <c r="H81" i="1"/>
  <c r="I81" i="1" s="1"/>
  <c r="H82" i="1"/>
  <c r="I82" i="1" s="1"/>
  <c r="H83" i="1"/>
  <c r="H84" i="1"/>
  <c r="H85" i="1"/>
  <c r="I85" i="1" s="1"/>
  <c r="H86" i="1"/>
  <c r="I86" i="1" s="1"/>
  <c r="H87" i="1"/>
  <c r="H88" i="1"/>
  <c r="H89" i="1"/>
  <c r="I89" i="1" s="1"/>
  <c r="H90" i="1"/>
  <c r="I90" i="1" s="1"/>
  <c r="H91" i="1"/>
  <c r="H92" i="1"/>
  <c r="H93" i="1"/>
  <c r="I93" i="1" s="1"/>
  <c r="H94" i="1"/>
  <c r="I94" i="1" s="1"/>
  <c r="H95" i="1"/>
  <c r="H96" i="1"/>
  <c r="H97" i="1"/>
  <c r="I97" i="1" s="1"/>
  <c r="H98" i="1"/>
  <c r="I98" i="1" s="1"/>
  <c r="H99" i="1"/>
  <c r="H100" i="1"/>
  <c r="H101" i="1"/>
  <c r="I101" i="1" s="1"/>
  <c r="H102" i="1"/>
  <c r="I102" i="1" s="1"/>
  <c r="H103" i="1"/>
  <c r="H4" i="1"/>
  <c r="H5" i="1"/>
  <c r="I5" i="1" s="1"/>
  <c r="H6" i="1"/>
  <c r="I6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4" i="1"/>
  <c r="T24" i="1" l="1"/>
  <c r="T22" i="1"/>
</calcChain>
</file>

<file path=xl/sharedStrings.xml><?xml version="1.0" encoding="utf-8"?>
<sst xmlns="http://schemas.openxmlformats.org/spreadsheetml/2006/main" count="556" uniqueCount="426">
  <si>
    <t>Student Name</t>
  </si>
  <si>
    <t>Student ID</t>
  </si>
  <si>
    <t>Department</t>
  </si>
  <si>
    <t>Subject 1 Marks</t>
  </si>
  <si>
    <t>Subject 2 Marks</t>
  </si>
  <si>
    <t>Subject 3 Marks</t>
  </si>
  <si>
    <t>Total Marks</t>
  </si>
  <si>
    <t>CGPA</t>
  </si>
  <si>
    <t>Attendance (%)</t>
  </si>
  <si>
    <t>Class Average Marks</t>
  </si>
  <si>
    <t>Mohammad Amir</t>
  </si>
  <si>
    <t>SID1000</t>
  </si>
  <si>
    <t>Engineering</t>
  </si>
  <si>
    <t>Sami Khan</t>
  </si>
  <si>
    <t>SID1001</t>
  </si>
  <si>
    <t>Medicine</t>
  </si>
  <si>
    <t>Hania Amir</t>
  </si>
  <si>
    <t>SID1002</t>
  </si>
  <si>
    <t>Arts</t>
  </si>
  <si>
    <t>Mahira Khan</t>
  </si>
  <si>
    <t>SID1003</t>
  </si>
  <si>
    <t>Ali Haider</t>
  </si>
  <si>
    <t>SID1004</t>
  </si>
  <si>
    <t>Ayesha Omar</t>
  </si>
  <si>
    <t>SID1005</t>
  </si>
  <si>
    <t>Commerce</t>
  </si>
  <si>
    <t>Saba Qamar</t>
  </si>
  <si>
    <t>SID1006</t>
  </si>
  <si>
    <t>Sanam Baloch</t>
  </si>
  <si>
    <t>SID1007</t>
  </si>
  <si>
    <t>Sajal Aly</t>
  </si>
  <si>
    <t>SID1008</t>
  </si>
  <si>
    <t>Fawad Alam</t>
  </si>
  <si>
    <t>SID1009</t>
  </si>
  <si>
    <t>Fatima Ali</t>
  </si>
  <si>
    <t>SID1010</t>
  </si>
  <si>
    <t>Zara Noor</t>
  </si>
  <si>
    <t>SID1011</t>
  </si>
  <si>
    <t>Minal Khan</t>
  </si>
  <si>
    <t>SID1012</t>
  </si>
  <si>
    <t>Hassan Raza</t>
  </si>
  <si>
    <t>SID1013</t>
  </si>
  <si>
    <t>Ranbir Kapoor</t>
  </si>
  <si>
    <t>SID1014</t>
  </si>
  <si>
    <t>Nusrat Jahan</t>
  </si>
  <si>
    <t>SID1015</t>
  </si>
  <si>
    <t>Fawad Khan</t>
  </si>
  <si>
    <t>SID1016</t>
  </si>
  <si>
    <t>Junaid Jamshed</t>
  </si>
  <si>
    <t>SID1017</t>
  </si>
  <si>
    <t>Usman Khalid</t>
  </si>
  <si>
    <t>SID1018</t>
  </si>
  <si>
    <t>Science</t>
  </si>
  <si>
    <t>Sanam Saeed</t>
  </si>
  <si>
    <t>SID1019</t>
  </si>
  <si>
    <t>Faisal Qureshi</t>
  </si>
  <si>
    <t>SID1020</t>
  </si>
  <si>
    <t>Sarah Khan</t>
  </si>
  <si>
    <t>SID1021</t>
  </si>
  <si>
    <t>SID1022</t>
  </si>
  <si>
    <t>Imran Abbas</t>
  </si>
  <si>
    <t>SID1023</t>
  </si>
  <si>
    <t>Abid Ali</t>
  </si>
  <si>
    <t>SID1024</t>
  </si>
  <si>
    <t>Junaid Khan</t>
  </si>
  <si>
    <t>SID1025</t>
  </si>
  <si>
    <t>Abuzar</t>
  </si>
  <si>
    <t>SID1026</t>
  </si>
  <si>
    <t>SID1027</t>
  </si>
  <si>
    <t>Mawra Hocane</t>
  </si>
  <si>
    <t>SID1028</t>
  </si>
  <si>
    <t>Haasin</t>
  </si>
  <si>
    <t>SID1029</t>
  </si>
  <si>
    <t>Sana Javed</t>
  </si>
  <si>
    <t>SID1030</t>
  </si>
  <si>
    <t>Fahad Mustafa</t>
  </si>
  <si>
    <t>SID1031</t>
  </si>
  <si>
    <t>Ayesha Khan</t>
  </si>
  <si>
    <t>SID1032</t>
  </si>
  <si>
    <t>Aiman Khan</t>
  </si>
  <si>
    <t>SID1033</t>
  </si>
  <si>
    <t>SID1034</t>
  </si>
  <si>
    <t>Iqra Aziz</t>
  </si>
  <si>
    <t>SID1035</t>
  </si>
  <si>
    <t>Amjad Sabri</t>
  </si>
  <si>
    <t>SID1036</t>
  </si>
  <si>
    <t>SID1037</t>
  </si>
  <si>
    <t>Kamran Akmal</t>
  </si>
  <si>
    <t>SID1038</t>
  </si>
  <si>
    <t>Sharif</t>
  </si>
  <si>
    <t>SID1039</t>
  </si>
  <si>
    <t>Bilal Aslam</t>
  </si>
  <si>
    <t>SID1040</t>
  </si>
  <si>
    <t>Maya Ali</t>
  </si>
  <si>
    <t>SID1041</t>
  </si>
  <si>
    <t>SID1042</t>
  </si>
  <si>
    <t>SID1043</t>
  </si>
  <si>
    <t>SID1044</t>
  </si>
  <si>
    <t>SID1045</t>
  </si>
  <si>
    <t>SID1046</t>
  </si>
  <si>
    <t>SID1047</t>
  </si>
  <si>
    <t>Shahid Afridi</t>
  </si>
  <si>
    <t>SID1048</t>
  </si>
  <si>
    <t>Noman Ijaz</t>
  </si>
  <si>
    <t>SID1049</t>
  </si>
  <si>
    <t>Fiza Ali</t>
  </si>
  <si>
    <t>SID1050</t>
  </si>
  <si>
    <t>Huzaifa</t>
  </si>
  <si>
    <t>SID1051</t>
  </si>
  <si>
    <t>Wasim Akram</t>
  </si>
  <si>
    <t>SID1052</t>
  </si>
  <si>
    <t>Ahsan</t>
  </si>
  <si>
    <t>SID1053</t>
  </si>
  <si>
    <t>SID1054</t>
  </si>
  <si>
    <t>Mehwish Hayat</t>
  </si>
  <si>
    <t>SID1055</t>
  </si>
  <si>
    <t>SID1056</t>
  </si>
  <si>
    <t>Zainab Abbas</t>
  </si>
  <si>
    <t>SID1057</t>
  </si>
  <si>
    <t>SID1058</t>
  </si>
  <si>
    <t>SID1059</t>
  </si>
  <si>
    <t>Shoaib Malik</t>
  </si>
  <si>
    <t>SID1060</t>
  </si>
  <si>
    <t>Sarfraz Ahmed</t>
  </si>
  <si>
    <t>SID1061</t>
  </si>
  <si>
    <t>SID1062</t>
  </si>
  <si>
    <t>SID1063</t>
  </si>
  <si>
    <t>Adeel Chaudhry</t>
  </si>
  <si>
    <t>SID1064</t>
  </si>
  <si>
    <t>Abdullah Ahmed</t>
  </si>
  <si>
    <t>SID1065</t>
  </si>
  <si>
    <t>SID1066</t>
  </si>
  <si>
    <t>SID1067</t>
  </si>
  <si>
    <t>Misbah-ul-Haq</t>
  </si>
  <si>
    <t>SID1068</t>
  </si>
  <si>
    <t>SID1069</t>
  </si>
  <si>
    <t>Hamza Ali</t>
  </si>
  <si>
    <t>SID1070</t>
  </si>
  <si>
    <t>Danish Taimoor</t>
  </si>
  <si>
    <t>SID1071</t>
  </si>
  <si>
    <t>SID1072</t>
  </si>
  <si>
    <t>SID1073</t>
  </si>
  <si>
    <t>Owais Shah</t>
  </si>
  <si>
    <t>SID1074</t>
  </si>
  <si>
    <t>SID1075</t>
  </si>
  <si>
    <t>Kareena Kapoor</t>
  </si>
  <si>
    <t>SID1076</t>
  </si>
  <si>
    <t>SID1077</t>
  </si>
  <si>
    <t>SID1078</t>
  </si>
  <si>
    <t>Sheheryar Munawar</t>
  </si>
  <si>
    <t>SID1079</t>
  </si>
  <si>
    <t>SID1080</t>
  </si>
  <si>
    <t>SID1081</t>
  </si>
  <si>
    <t>Hira Mani</t>
  </si>
  <si>
    <t>SID1082</t>
  </si>
  <si>
    <t>SID1083</t>
  </si>
  <si>
    <t>SID1084</t>
  </si>
  <si>
    <t>SID1085</t>
  </si>
  <si>
    <t>SID1086</t>
  </si>
  <si>
    <t>SID1087</t>
  </si>
  <si>
    <t>Iqra Shahid</t>
  </si>
  <si>
    <t>SID1088</t>
  </si>
  <si>
    <t>SID1089</t>
  </si>
  <si>
    <t>Sudais Khan</t>
  </si>
  <si>
    <t>SID1090</t>
  </si>
  <si>
    <t>SID1091</t>
  </si>
  <si>
    <t>Atif Aslam</t>
  </si>
  <si>
    <t>SID1092</t>
  </si>
  <si>
    <t>Adnan Malik</t>
  </si>
  <si>
    <t>SID1093</t>
  </si>
  <si>
    <t>Ali Raza</t>
  </si>
  <si>
    <t>SID1094</t>
  </si>
  <si>
    <t>SID1095</t>
  </si>
  <si>
    <t>SID1096</t>
  </si>
  <si>
    <t>SID1097</t>
  </si>
  <si>
    <t>SID1098</t>
  </si>
  <si>
    <t>Nida Yasir</t>
  </si>
  <si>
    <t>SID1099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</si>
  <si>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</si>
  <si>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</si>
  <si>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</si>
  <si>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</si>
  <si>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</si>
  <si>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</si>
  <si>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</si>
  <si>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</si>
  <si>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</si>
  <si>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</si>
  <si>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</si>
  <si>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</si>
  <si>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</si>
  <si>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</si>
  <si>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</si>
  <si>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</si>
  <si>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</si>
  <si>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</si>
  <si>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</si>
  <si>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</si>
  <si>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</si>
  <si>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</si>
  <si>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</si>
  <si>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</si>
  <si>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</si>
  <si>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</si>
  <si>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</si>
  <si>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</si>
  <si>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</si>
  <si>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</si>
  <si>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Total Attendance</t>
  </si>
  <si>
    <t>Attendance Percentage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</si>
  <si>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</si>
  <si>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</si>
  <si>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</si>
  <si>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</si>
  <si>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</si>
  <si>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</si>
  <si>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</si>
  <si>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</si>
  <si>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</si>
  <si>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</si>
  <si>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</si>
  <si>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</si>
  <si>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</si>
  <si>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</si>
  <si>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</si>
  <si>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</si>
  <si>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</si>
  <si>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</si>
  <si>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</si>
  <si>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</si>
  <si>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</si>
  <si>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</si>
  <si>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</si>
  <si>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</si>
  <si>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</si>
  <si>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</si>
  <si>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</si>
  <si>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</si>
  <si>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</si>
  <si>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</si>
  <si>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</si>
  <si>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</si>
  <si>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</si>
  <si>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</si>
  <si>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</si>
  <si>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</si>
  <si>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</si>
  <si>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</si>
  <si>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</si>
  <si>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</si>
  <si>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</si>
  <si>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</si>
  <si>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</si>
  <si>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</si>
  <si>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</si>
  <si>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</si>
  <si>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</si>
  <si>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</si>
  <si>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</si>
  <si>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</si>
  <si>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</si>
  <si>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</si>
  <si>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</si>
  <si>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</si>
  <si>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</si>
  <si>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</si>
  <si>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</si>
  <si>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</si>
  <si>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</si>
  <si>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</si>
  <si>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</si>
  <si>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</si>
  <si>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</si>
  <si>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</si>
  <si>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</si>
  <si>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</si>
  <si>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</si>
  <si>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</si>
  <si>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</si>
  <si>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</si>
  <si>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</si>
  <si>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</si>
  <si>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</si>
  <si>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</si>
  <si>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</si>
  <si>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</si>
  <si>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</si>
  <si>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</si>
  <si>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</si>
  <si>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</si>
  <si>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</si>
  <si>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</si>
  <si>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</si>
  <si>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</si>
  <si>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</si>
  <si>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</si>
  <si>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</si>
  <si>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</si>
  <si>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</si>
  <si>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</si>
  <si>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</si>
  <si>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</si>
  <si>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</si>
  <si>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</si>
  <si>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</si>
  <si>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</si>
  <si>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</si>
  <si>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</si>
  <si>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</si>
  <si>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</si>
  <si>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Class Average Attendance %</t>
  </si>
  <si>
    <t>B25f090</t>
  </si>
  <si>
    <t>B25f091</t>
  </si>
  <si>
    <t>B25f092</t>
  </si>
  <si>
    <t>B25f093</t>
  </si>
  <si>
    <t>B25f094</t>
  </si>
  <si>
    <t>B25f095</t>
  </si>
  <si>
    <t>B25f096</t>
  </si>
  <si>
    <t>B25f097</t>
  </si>
  <si>
    <t>B25f098</t>
  </si>
  <si>
    <t>B25f099</t>
  </si>
  <si>
    <t>B25f100</t>
  </si>
  <si>
    <t>B25f101</t>
  </si>
  <si>
    <t>B25f102</t>
  </si>
  <si>
    <t>B25f103</t>
  </si>
  <si>
    <t>B25f104</t>
  </si>
  <si>
    <t>B25f105</t>
  </si>
  <si>
    <t>B25f106</t>
  </si>
  <si>
    <t>B25f107</t>
  </si>
  <si>
    <t>B25f108</t>
  </si>
  <si>
    <t>B25f109</t>
  </si>
  <si>
    <t>B25f110</t>
  </si>
  <si>
    <t>B25f111</t>
  </si>
  <si>
    <t>B25f112</t>
  </si>
  <si>
    <t>B25f113</t>
  </si>
  <si>
    <t>B25f114</t>
  </si>
  <si>
    <t>B25f115</t>
  </si>
  <si>
    <t>B25f116</t>
  </si>
  <si>
    <t>B25f117</t>
  </si>
  <si>
    <t>B25f118</t>
  </si>
  <si>
    <t>B25f119</t>
  </si>
  <si>
    <t>B25f120</t>
  </si>
  <si>
    <t>B25f121</t>
  </si>
  <si>
    <t>B25f122</t>
  </si>
  <si>
    <t>B25f123</t>
  </si>
  <si>
    <t>B25f124</t>
  </si>
  <si>
    <t>B25f125</t>
  </si>
  <si>
    <t>B25f126</t>
  </si>
  <si>
    <t>B25f127</t>
  </si>
  <si>
    <t>B25f128</t>
  </si>
  <si>
    <t>B25f129</t>
  </si>
  <si>
    <t>B25f130</t>
  </si>
  <si>
    <t>B25f131</t>
  </si>
  <si>
    <t>B25f132</t>
  </si>
  <si>
    <t>B25f133</t>
  </si>
  <si>
    <t>B25f134</t>
  </si>
  <si>
    <t>B25f135</t>
  </si>
  <si>
    <t>B25f136</t>
  </si>
  <si>
    <t>B25f137</t>
  </si>
  <si>
    <t>B25f138</t>
  </si>
  <si>
    <t>B25f139</t>
  </si>
  <si>
    <t>B25f140</t>
  </si>
  <si>
    <t>B25f141</t>
  </si>
  <si>
    <t>B25f142</t>
  </si>
  <si>
    <t>B25f143</t>
  </si>
  <si>
    <t>B25f144</t>
  </si>
  <si>
    <t>B25f145</t>
  </si>
  <si>
    <t>B25f146</t>
  </si>
  <si>
    <t>B25f147</t>
  </si>
  <si>
    <t>B25f148</t>
  </si>
  <si>
    <t>B25f149</t>
  </si>
  <si>
    <t>B25f150</t>
  </si>
  <si>
    <t>B25f151</t>
  </si>
  <si>
    <t>B25f152</t>
  </si>
  <si>
    <t>B25f153</t>
  </si>
  <si>
    <t>B25f154</t>
  </si>
  <si>
    <t>B25f155</t>
  </si>
  <si>
    <t>B25f156</t>
  </si>
  <si>
    <t>B25f157</t>
  </si>
  <si>
    <t>B25f158</t>
  </si>
  <si>
    <t>B25f159</t>
  </si>
  <si>
    <t>B25f160</t>
  </si>
  <si>
    <t>B25f161</t>
  </si>
  <si>
    <t>B25f162</t>
  </si>
  <si>
    <t>B25f163</t>
  </si>
  <si>
    <t>B25f164</t>
  </si>
  <si>
    <t>B25f165</t>
  </si>
  <si>
    <t>B25f166</t>
  </si>
  <si>
    <t>B25f167</t>
  </si>
  <si>
    <t>B25f168</t>
  </si>
  <si>
    <t>B25f169</t>
  </si>
  <si>
    <t>B25f170</t>
  </si>
  <si>
    <t>B25f171</t>
  </si>
  <si>
    <t>B25f172</t>
  </si>
  <si>
    <t>B25f173</t>
  </si>
  <si>
    <t>B25f174</t>
  </si>
  <si>
    <t>B25f175</t>
  </si>
  <si>
    <t>B25f176</t>
  </si>
  <si>
    <t>B25f177</t>
  </si>
  <si>
    <t>B25f178</t>
  </si>
  <si>
    <t>B25f179</t>
  </si>
  <si>
    <t>B25f180</t>
  </si>
  <si>
    <t>B25f181</t>
  </si>
  <si>
    <t>B25f182</t>
  </si>
  <si>
    <t>B25f183</t>
  </si>
  <si>
    <t>B25f184</t>
  </si>
  <si>
    <t>B25f185</t>
  </si>
  <si>
    <t>B25f186</t>
  </si>
  <si>
    <t>B25f187</t>
  </si>
  <si>
    <t>B25f188</t>
  </si>
  <si>
    <t>B25f189</t>
  </si>
  <si>
    <t>AI</t>
  </si>
  <si>
    <t>CS</t>
  </si>
  <si>
    <t>Cs</t>
  </si>
  <si>
    <t>SE</t>
  </si>
  <si>
    <t>Average</t>
  </si>
  <si>
    <t>WEEK #01 Attendence</t>
  </si>
  <si>
    <t>Monday</t>
  </si>
  <si>
    <t>Tuesday</t>
  </si>
  <si>
    <t>Wednesday</t>
  </si>
  <si>
    <t>Thursday</t>
  </si>
  <si>
    <t>Friday</t>
  </si>
  <si>
    <t>Presents</t>
  </si>
  <si>
    <t>Absents</t>
  </si>
  <si>
    <t xml:space="preserve"> Attendance (%)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</si>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</sst>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 applyAlignment="1">
      <alignment horizontal="center"/>
    </xf>
    <xf numFmtId="2" fontId="0" fillId="0" borderId="3" xfId="0" applyNumberFormat="1" applyBorder="1"/>
    <xf numFmtId="2" fontId="0" fillId="0" borderId="0" xfId="0" applyNumberFormat="1" applyBorder="1"/>
    <xf numFmtId="2" fontId="0" fillId="0" borderId="2" xfId="0" applyNumberFormat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2" xfId="0" applyFont="1" applyFill="1" applyBorder="1" applyAlignme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3"/>
  <sheetViews>
    <sheetView tabSelected="1" topLeftCell="M84" workbookViewId="0">
      <selection activeCell="S104" sqref="S104"/>
    </sheetView>
  </sheetViews>
  <sheetFormatPr defaultRowHeight="15" x14ac:dyDescent="0.25"/>
  <cols>
    <col min="1" max="1" width="19" bestFit="1" customWidth="1"/>
    <col min="2" max="2" width="10.28515625" bestFit="1" customWidth="1"/>
    <col min="3" max="3" width="11.7109375" bestFit="1" customWidth="1"/>
    <col min="4" max="6" width="15" bestFit="1" customWidth="1"/>
    <col min="7" max="7" width="11.28515625" bestFit="1" customWidth="1"/>
    <col min="8" max="8" width="14" bestFit="1" customWidth="1"/>
    <col min="9" max="9" width="8.42578125" bestFit="1" customWidth="1"/>
    <col min="10" max="10" width="14.85546875" bestFit="1" customWidth="1"/>
    <col min="11" max="11" width="19.28515625" bestFit="1" customWidth="1"/>
    <col min="12" max="18" width="19.28515625" customWidth="1"/>
    <col min="19" max="19" width="15.28515625" bestFit="1" customWidth="1"/>
  </cols>
  <sheetData>
    <row r="1" spans="1:49" ht="26.25" x14ac:dyDescent="0.4">
      <c r="L1" s="3" t="s">
        <v>416</v>
      </c>
      <c r="M1" s="3"/>
      <c r="N1" s="3"/>
      <c r="O1" s="3"/>
      <c r="P1" s="3"/>
      <c r="Q1" s="14"/>
      <c r="R1" s="13"/>
    </row>
    <row r="2" spans="1:49" ht="26.25" x14ac:dyDescent="0.4">
      <c r="L2" s="4"/>
      <c r="M2" s="4"/>
      <c r="N2" s="4"/>
      <c r="O2" s="4"/>
      <c r="P2" s="4"/>
      <c r="Q2" s="15"/>
      <c r="R2" s="13"/>
    </row>
    <row r="3" spans="1:49" ht="18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415</v>
      </c>
      <c r="I3" s="1" t="s">
        <v>7</v>
      </c>
      <c r="J3" s="1" t="s">
        <v>8</v>
      </c>
      <c r="K3" s="1" t="s">
        <v>9</v>
      </c>
      <c r="L3" s="6" t="s">
        <v>417</v>
      </c>
      <c r="M3" s="9" t="s">
        <v>418</v>
      </c>
      <c r="N3" s="6" t="s">
        <v>419</v>
      </c>
      <c r="O3" s="9" t="s">
        <v>420</v>
      </c>
      <c r="P3" s="6" t="s">
        <v>421</v>
      </c>
      <c r="Q3" s="5" t="s">
        <v>422</v>
      </c>
      <c r="R3" s="5" t="s">
        <v>423</v>
      </c>
      <c r="S3" s="5" t="s">
        <v>424</v>
      </c>
      <c r="T3" s="5" t="s">
        <v>425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t="s">
        <v>163</v>
      </c>
      <c r="B4" t="s">
        <v>311</v>
      </c>
      <c r="C4" t="s">
        <v>12</v>
      </c>
      <c r="D4">
        <v>67</v>
      </c>
      <c r="E4">
        <v>54</v>
      </c>
      <c r="F4">
        <v>91</v>
      </c>
      <c r="G4">
        <f>SUM(D4:F4)</f>
        <v>212</v>
      </c>
      <c r="H4" s="2">
        <f t="shared" ref="H4:H67" si="0">AVERAGE(D4:F4)</f>
        <v>70.666666666666671</v>
      </c>
      <c r="I4">
        <f>IF(H4&gt;=90,4,IF(H4&gt;=80,3.7,IF(H4&gt;=70,3,IF(H4&gt;=60,2.5,IF(H4&gt;=50,2,0)))))</f>
        <v>3</v>
      </c>
      <c r="J4">
        <v>55</v>
      </c>
      <c r="K4">
        <v>211.1</v>
      </c>
      <c r="L4" s="7" t="b">
        <v>1</v>
      </c>
      <c r="M4" s="8" t="b">
        <v>0</v>
      </c>
      <c r="N4" s="7" t="b">
        <v>1</v>
      </c>
      <c r="O4" s="8" t="b">
        <v>1</v>
      </c>
      <c r="P4" s="7" t="b">
        <v>1</v>
      </c>
      <c r="Q4">
        <f>COUNTIF(L4:P4,TRUE)</f>
        <v>4</v>
      </c>
      <c r="R4">
        <f>COUNTIF(L4:P4,FALSE)</f>
        <v>1</v>
      </c>
      <c r="S4" s="10">
        <f>(Q4/5)*100</f>
        <v>80</v>
      </c>
      <c r="T4" t="str">
        <f>IF(AND(S4&lt;75, H4&lt;50), "Critical", IF(OR(S4&lt;80, H4&lt;60), "Warning", "Safe"))</f>
        <v>Safe</v>
      </c>
    </row>
    <row r="5" spans="1:49" x14ac:dyDescent="0.25">
      <c r="A5" t="s">
        <v>129</v>
      </c>
      <c r="B5" t="s">
        <v>312</v>
      </c>
      <c r="C5" t="s">
        <v>15</v>
      </c>
      <c r="D5">
        <v>46</v>
      </c>
      <c r="E5">
        <v>98</v>
      </c>
      <c r="F5">
        <v>99</v>
      </c>
      <c r="G5">
        <f t="shared" ref="G5:G68" si="1">SUM(D5:F5)</f>
        <v>243</v>
      </c>
      <c r="H5" s="2">
        <f t="shared" si="0"/>
        <v>81</v>
      </c>
      <c r="I5">
        <f t="shared" ref="I5:I68" si="2">IF(H5&gt;=90,4,IF(H5&gt;=80,3.7,IF(H5&gt;=70,3,IF(H5&gt;=60,2.5,IF(H5&gt;=50,2,0)))))</f>
        <v>3.7</v>
      </c>
      <c r="J5">
        <v>84</v>
      </c>
      <c r="K5">
        <v>211.1</v>
      </c>
      <c r="L5" s="7" t="b">
        <v>1</v>
      </c>
      <c r="M5" s="8" t="b">
        <v>0</v>
      </c>
      <c r="N5" s="7" t="b">
        <v>1</v>
      </c>
      <c r="O5" s="8" t="b">
        <v>0</v>
      </c>
      <c r="P5" s="7" t="b">
        <v>1</v>
      </c>
      <c r="Q5">
        <f t="shared" ref="Q5:Q68" si="3">COUNTIF(L5:P5,TRUE)</f>
        <v>3</v>
      </c>
      <c r="R5">
        <f t="shared" ref="R5:R68" si="4">COUNTIF(L5:P5,FALSE)</f>
        <v>2</v>
      </c>
      <c r="S5" s="11">
        <f t="shared" ref="S5:S68" si="5">(Q5/5)*100</f>
        <v>60</v>
      </c>
      <c r="T5" t="str">
        <f>IF(AND(S5&lt;75, H5&lt;50), "Critical", IF(OR(S5&lt;80, H5&lt;60), "Warning", "Safe"))</f>
        <v>Warning</v>
      </c>
    </row>
    <row r="6" spans="1:49" x14ac:dyDescent="0.25">
      <c r="A6" t="s">
        <v>71</v>
      </c>
      <c r="B6" t="s">
        <v>313</v>
      </c>
      <c r="C6" t="s">
        <v>411</v>
      </c>
      <c r="D6">
        <v>48</v>
      </c>
      <c r="E6">
        <v>93</v>
      </c>
      <c r="F6">
        <v>88</v>
      </c>
      <c r="G6">
        <f t="shared" si="1"/>
        <v>229</v>
      </c>
      <c r="H6" s="2">
        <f>AVERAGE(D6:F6)</f>
        <v>76.333333333333329</v>
      </c>
      <c r="I6">
        <f t="shared" si="2"/>
        <v>3</v>
      </c>
      <c r="J6">
        <v>90</v>
      </c>
      <c r="K6">
        <v>211.1</v>
      </c>
      <c r="L6" s="7" t="b">
        <v>1</v>
      </c>
      <c r="M6" s="8" t="b">
        <v>1</v>
      </c>
      <c r="N6" s="7" t="b">
        <v>0</v>
      </c>
      <c r="O6" s="8" t="b">
        <v>1</v>
      </c>
      <c r="P6" s="7" t="b">
        <v>1</v>
      </c>
      <c r="Q6">
        <f t="shared" si="3"/>
        <v>4</v>
      </c>
      <c r="R6">
        <f t="shared" si="4"/>
        <v>1</v>
      </c>
      <c r="S6" s="11">
        <f t="shared" si="5"/>
        <v>80</v>
      </c>
      <c r="T6" t="str">
        <f t="shared" ref="T5:T68" si="6">IF(AND(S6&lt;75, H6&lt;50), "Critical", IF(OR(S6&lt;80, H6&lt;60), "Warning", "Safe"))</f>
        <v>Safe</v>
      </c>
    </row>
    <row r="7" spans="1:49" x14ac:dyDescent="0.25">
      <c r="A7" t="s">
        <v>111</v>
      </c>
      <c r="B7" t="s">
        <v>314</v>
      </c>
      <c r="C7" t="s">
        <v>15</v>
      </c>
      <c r="D7">
        <v>47</v>
      </c>
      <c r="E7">
        <v>71</v>
      </c>
      <c r="F7">
        <v>41</v>
      </c>
      <c r="G7">
        <f t="shared" si="1"/>
        <v>159</v>
      </c>
      <c r="H7" s="2">
        <f t="shared" si="0"/>
        <v>53</v>
      </c>
      <c r="I7">
        <f t="shared" si="2"/>
        <v>2</v>
      </c>
      <c r="J7">
        <v>86</v>
      </c>
      <c r="K7">
        <v>211.1</v>
      </c>
      <c r="L7" s="7" t="b">
        <v>1</v>
      </c>
      <c r="M7" s="8" t="b">
        <v>1</v>
      </c>
      <c r="N7" s="7" t="b">
        <v>1</v>
      </c>
      <c r="O7" s="8" t="b">
        <v>1</v>
      </c>
      <c r="P7" s="7" t="b">
        <v>0</v>
      </c>
      <c r="Q7">
        <f t="shared" si="3"/>
        <v>4</v>
      </c>
      <c r="R7">
        <f t="shared" si="4"/>
        <v>1</v>
      </c>
      <c r="S7" s="11">
        <f t="shared" si="5"/>
        <v>80</v>
      </c>
      <c r="T7" t="str">
        <f t="shared" si="6"/>
        <v>Warning</v>
      </c>
    </row>
    <row r="8" spans="1:49" x14ac:dyDescent="0.25">
      <c r="A8" t="s">
        <v>21</v>
      </c>
      <c r="B8" t="s">
        <v>315</v>
      </c>
      <c r="C8" t="s">
        <v>15</v>
      </c>
      <c r="D8">
        <v>51</v>
      </c>
      <c r="E8">
        <v>71</v>
      </c>
      <c r="F8">
        <v>40</v>
      </c>
      <c r="G8">
        <f t="shared" si="1"/>
        <v>162</v>
      </c>
      <c r="H8" s="2">
        <f t="shared" si="0"/>
        <v>54</v>
      </c>
      <c r="I8">
        <f t="shared" si="2"/>
        <v>2</v>
      </c>
      <c r="J8">
        <v>73</v>
      </c>
      <c r="K8">
        <v>211.1</v>
      </c>
      <c r="L8" s="7" t="b">
        <v>1</v>
      </c>
      <c r="M8" s="8" t="b">
        <v>1</v>
      </c>
      <c r="N8" s="7" t="b">
        <v>1</v>
      </c>
      <c r="O8" s="8" t="b">
        <v>1</v>
      </c>
      <c r="P8" s="7" t="b">
        <v>1</v>
      </c>
      <c r="Q8">
        <f t="shared" si="3"/>
        <v>5</v>
      </c>
      <c r="R8">
        <f t="shared" si="4"/>
        <v>0</v>
      </c>
      <c r="S8" s="11">
        <f t="shared" si="5"/>
        <v>100</v>
      </c>
      <c r="T8" t="str">
        <f t="shared" si="6"/>
        <v>Warning</v>
      </c>
    </row>
    <row r="9" spans="1:49" x14ac:dyDescent="0.25">
      <c r="A9" t="s">
        <v>23</v>
      </c>
      <c r="B9" t="s">
        <v>316</v>
      </c>
      <c r="C9" t="s">
        <v>412</v>
      </c>
      <c r="D9">
        <v>73</v>
      </c>
      <c r="E9">
        <v>63</v>
      </c>
      <c r="F9">
        <v>87</v>
      </c>
      <c r="G9">
        <f t="shared" si="1"/>
        <v>223</v>
      </c>
      <c r="H9" s="2">
        <f t="shared" si="0"/>
        <v>74.333333333333329</v>
      </c>
      <c r="I9">
        <f t="shared" si="2"/>
        <v>3</v>
      </c>
      <c r="J9">
        <v>78</v>
      </c>
      <c r="K9">
        <v>211.1</v>
      </c>
      <c r="L9" s="7" t="b">
        <v>1</v>
      </c>
      <c r="M9" s="8" t="b">
        <v>1</v>
      </c>
      <c r="N9" s="7" t="b">
        <v>1</v>
      </c>
      <c r="O9" s="8" t="b">
        <v>0</v>
      </c>
      <c r="P9" s="7" t="b">
        <v>1</v>
      </c>
      <c r="Q9">
        <f t="shared" si="3"/>
        <v>4</v>
      </c>
      <c r="R9">
        <f t="shared" si="4"/>
        <v>1</v>
      </c>
      <c r="S9" s="11">
        <f t="shared" si="5"/>
        <v>80</v>
      </c>
      <c r="T9" t="str">
        <f t="shared" si="6"/>
        <v>Safe</v>
      </c>
    </row>
    <row r="10" spans="1:49" x14ac:dyDescent="0.25">
      <c r="A10" t="s">
        <v>26</v>
      </c>
      <c r="B10" t="s">
        <v>317</v>
      </c>
      <c r="C10" t="s">
        <v>411</v>
      </c>
      <c r="D10">
        <v>72</v>
      </c>
      <c r="E10">
        <v>80</v>
      </c>
      <c r="F10">
        <v>51</v>
      </c>
      <c r="G10">
        <f t="shared" si="1"/>
        <v>203</v>
      </c>
      <c r="H10" s="2">
        <f t="shared" si="0"/>
        <v>67.666666666666671</v>
      </c>
      <c r="I10">
        <f t="shared" si="2"/>
        <v>2.5</v>
      </c>
      <c r="J10">
        <v>98</v>
      </c>
      <c r="K10">
        <v>211.1</v>
      </c>
      <c r="L10" s="7" t="b">
        <v>0</v>
      </c>
      <c r="M10" s="8" t="b">
        <v>0</v>
      </c>
      <c r="N10" s="7" t="b">
        <v>0</v>
      </c>
      <c r="O10" s="8" t="b">
        <v>1</v>
      </c>
      <c r="P10" s="7" t="b">
        <v>1</v>
      </c>
      <c r="Q10">
        <f t="shared" si="3"/>
        <v>2</v>
      </c>
      <c r="R10">
        <f t="shared" si="4"/>
        <v>3</v>
      </c>
      <c r="S10" s="11">
        <f t="shared" si="5"/>
        <v>40</v>
      </c>
      <c r="T10" t="str">
        <f t="shared" si="6"/>
        <v>Warning</v>
      </c>
    </row>
    <row r="11" spans="1:49" x14ac:dyDescent="0.25">
      <c r="A11" t="s">
        <v>28</v>
      </c>
      <c r="B11" t="s">
        <v>318</v>
      </c>
      <c r="C11" t="s">
        <v>411</v>
      </c>
      <c r="D11">
        <v>87</v>
      </c>
      <c r="E11">
        <v>91</v>
      </c>
      <c r="F11">
        <v>44</v>
      </c>
      <c r="G11">
        <f t="shared" si="1"/>
        <v>222</v>
      </c>
      <c r="H11" s="2">
        <f t="shared" si="0"/>
        <v>74</v>
      </c>
      <c r="I11">
        <f t="shared" si="2"/>
        <v>3</v>
      </c>
      <c r="J11">
        <v>95</v>
      </c>
      <c r="K11">
        <v>211.1</v>
      </c>
      <c r="L11" s="7" t="b">
        <v>1</v>
      </c>
      <c r="M11" s="8" t="b">
        <v>1</v>
      </c>
      <c r="N11" s="7" t="b">
        <v>1</v>
      </c>
      <c r="O11" s="8" t="b">
        <v>0</v>
      </c>
      <c r="P11" s="7" t="b">
        <v>1</v>
      </c>
      <c r="Q11">
        <f t="shared" si="3"/>
        <v>4</v>
      </c>
      <c r="R11">
        <f t="shared" si="4"/>
        <v>1</v>
      </c>
      <c r="S11" s="11">
        <f t="shared" si="5"/>
        <v>80</v>
      </c>
      <c r="T11" t="str">
        <f t="shared" si="6"/>
        <v>Safe</v>
      </c>
    </row>
    <row r="12" spans="1:49" x14ac:dyDescent="0.25">
      <c r="A12" t="s">
        <v>30</v>
      </c>
      <c r="B12" t="s">
        <v>319</v>
      </c>
      <c r="C12" t="s">
        <v>411</v>
      </c>
      <c r="D12">
        <v>94</v>
      </c>
      <c r="E12">
        <v>88</v>
      </c>
      <c r="F12">
        <v>76</v>
      </c>
      <c r="G12">
        <f t="shared" si="1"/>
        <v>258</v>
      </c>
      <c r="H12" s="2">
        <f t="shared" si="0"/>
        <v>86</v>
      </c>
      <c r="I12">
        <f t="shared" si="2"/>
        <v>3.7</v>
      </c>
      <c r="J12">
        <v>80</v>
      </c>
      <c r="K12">
        <v>211.1</v>
      </c>
      <c r="L12" s="7" t="b">
        <v>1</v>
      </c>
      <c r="M12" s="8" t="b">
        <v>1</v>
      </c>
      <c r="N12" s="7" t="b">
        <v>1</v>
      </c>
      <c r="O12" s="8" t="b">
        <v>1</v>
      </c>
      <c r="P12" s="7" t="b">
        <v>1</v>
      </c>
      <c r="Q12">
        <f t="shared" si="3"/>
        <v>5</v>
      </c>
      <c r="R12">
        <f t="shared" si="4"/>
        <v>0</v>
      </c>
      <c r="S12" s="11">
        <f t="shared" si="5"/>
        <v>100</v>
      </c>
      <c r="T12" t="str">
        <f t="shared" si="6"/>
        <v>Safe</v>
      </c>
    </row>
    <row r="13" spans="1:49" x14ac:dyDescent="0.25">
      <c r="A13" t="s">
        <v>32</v>
      </c>
      <c r="B13" t="s">
        <v>320</v>
      </c>
      <c r="C13" t="s">
        <v>15</v>
      </c>
      <c r="D13">
        <v>62</v>
      </c>
      <c r="E13">
        <v>88</v>
      </c>
      <c r="F13">
        <v>71</v>
      </c>
      <c r="G13">
        <f t="shared" si="1"/>
        <v>221</v>
      </c>
      <c r="H13" s="2">
        <f t="shared" si="0"/>
        <v>73.666666666666671</v>
      </c>
      <c r="I13">
        <f t="shared" si="2"/>
        <v>3</v>
      </c>
      <c r="J13">
        <v>84</v>
      </c>
      <c r="K13">
        <v>211.1</v>
      </c>
      <c r="L13" s="7" t="b">
        <v>1</v>
      </c>
      <c r="M13" s="8" t="b">
        <v>0</v>
      </c>
      <c r="N13" s="7" t="b">
        <v>1</v>
      </c>
      <c r="O13" s="8" t="b">
        <v>1</v>
      </c>
      <c r="P13" s="7" t="b">
        <v>1</v>
      </c>
      <c r="Q13">
        <f t="shared" si="3"/>
        <v>4</v>
      </c>
      <c r="R13">
        <f t="shared" si="4"/>
        <v>1</v>
      </c>
      <c r="S13" s="11">
        <f t="shared" si="5"/>
        <v>80</v>
      </c>
      <c r="T13" t="str">
        <f t="shared" si="6"/>
        <v>Safe</v>
      </c>
    </row>
    <row r="14" spans="1:49" x14ac:dyDescent="0.25">
      <c r="A14" t="s">
        <v>34</v>
      </c>
      <c r="B14" t="s">
        <v>321</v>
      </c>
      <c r="C14" t="s">
        <v>12</v>
      </c>
      <c r="D14">
        <v>63</v>
      </c>
      <c r="E14">
        <v>97</v>
      </c>
      <c r="F14">
        <v>98</v>
      </c>
      <c r="G14">
        <f t="shared" si="1"/>
        <v>258</v>
      </c>
      <c r="H14" s="2">
        <f t="shared" si="0"/>
        <v>86</v>
      </c>
      <c r="I14">
        <f t="shared" si="2"/>
        <v>3.7</v>
      </c>
      <c r="J14">
        <v>82</v>
      </c>
      <c r="K14">
        <v>211.1</v>
      </c>
      <c r="L14" s="7" t="b">
        <v>1</v>
      </c>
      <c r="M14" s="8" t="b">
        <v>0</v>
      </c>
      <c r="N14" s="7" t="b">
        <v>1</v>
      </c>
      <c r="O14" s="8" t="b">
        <v>1</v>
      </c>
      <c r="P14" s="7" t="b">
        <v>1</v>
      </c>
      <c r="Q14">
        <f t="shared" si="3"/>
        <v>4</v>
      </c>
      <c r="R14">
        <f t="shared" si="4"/>
        <v>1</v>
      </c>
      <c r="S14" s="11">
        <f t="shared" si="5"/>
        <v>80</v>
      </c>
      <c r="T14" t="str">
        <f t="shared" si="6"/>
        <v>Safe</v>
      </c>
    </row>
    <row r="15" spans="1:49" x14ac:dyDescent="0.25">
      <c r="A15" t="s">
        <v>36</v>
      </c>
      <c r="B15" t="s">
        <v>322</v>
      </c>
      <c r="C15" t="s">
        <v>18</v>
      </c>
      <c r="D15">
        <v>76</v>
      </c>
      <c r="E15">
        <v>91</v>
      </c>
      <c r="F15">
        <v>94</v>
      </c>
      <c r="G15">
        <f t="shared" si="1"/>
        <v>261</v>
      </c>
      <c r="H15" s="2">
        <f t="shared" si="0"/>
        <v>87</v>
      </c>
      <c r="I15">
        <f t="shared" si="2"/>
        <v>3.7</v>
      </c>
      <c r="J15">
        <v>70</v>
      </c>
      <c r="K15">
        <v>211.1</v>
      </c>
      <c r="L15" s="7" t="b">
        <v>1</v>
      </c>
      <c r="M15" s="8" t="b">
        <v>1</v>
      </c>
      <c r="N15" s="7" t="b">
        <v>1</v>
      </c>
      <c r="O15" s="8" t="b">
        <v>1</v>
      </c>
      <c r="P15" s="7" t="b">
        <v>0</v>
      </c>
      <c r="Q15">
        <f t="shared" si="3"/>
        <v>4</v>
      </c>
      <c r="R15">
        <f t="shared" si="4"/>
        <v>1</v>
      </c>
      <c r="S15" s="11">
        <f t="shared" si="5"/>
        <v>80</v>
      </c>
      <c r="T15" t="str">
        <f t="shared" si="6"/>
        <v>Safe</v>
      </c>
    </row>
    <row r="16" spans="1:49" x14ac:dyDescent="0.25">
      <c r="A16" t="s">
        <v>38</v>
      </c>
      <c r="B16" t="s">
        <v>323</v>
      </c>
      <c r="C16" t="s">
        <v>15</v>
      </c>
      <c r="D16">
        <v>74</v>
      </c>
      <c r="E16">
        <v>51</v>
      </c>
      <c r="F16">
        <v>48</v>
      </c>
      <c r="G16">
        <f t="shared" si="1"/>
        <v>173</v>
      </c>
      <c r="H16" s="2">
        <f t="shared" si="0"/>
        <v>57.666666666666664</v>
      </c>
      <c r="I16">
        <f t="shared" si="2"/>
        <v>2</v>
      </c>
      <c r="J16">
        <v>81</v>
      </c>
      <c r="K16">
        <v>211.1</v>
      </c>
      <c r="L16" s="7" t="b">
        <v>1</v>
      </c>
      <c r="M16" s="8" t="b">
        <v>1</v>
      </c>
      <c r="N16" s="7" t="b">
        <v>1</v>
      </c>
      <c r="O16" s="8" t="b">
        <v>0</v>
      </c>
      <c r="P16" s="7" t="b">
        <v>1</v>
      </c>
      <c r="Q16">
        <f t="shared" si="3"/>
        <v>4</v>
      </c>
      <c r="R16">
        <f t="shared" si="4"/>
        <v>1</v>
      </c>
      <c r="S16" s="11">
        <f t="shared" si="5"/>
        <v>80</v>
      </c>
      <c r="T16" t="str">
        <f t="shared" si="6"/>
        <v>Warning</v>
      </c>
    </row>
    <row r="17" spans="1:20" x14ac:dyDescent="0.25">
      <c r="A17" t="s">
        <v>40</v>
      </c>
      <c r="B17" t="s">
        <v>324</v>
      </c>
      <c r="C17" t="s">
        <v>412</v>
      </c>
      <c r="D17">
        <v>83</v>
      </c>
      <c r="E17">
        <v>78</v>
      </c>
      <c r="F17">
        <v>80</v>
      </c>
      <c r="G17">
        <f t="shared" si="1"/>
        <v>241</v>
      </c>
      <c r="H17" s="2">
        <f t="shared" si="0"/>
        <v>80.333333333333329</v>
      </c>
      <c r="I17">
        <f t="shared" si="2"/>
        <v>3.7</v>
      </c>
      <c r="J17">
        <v>72</v>
      </c>
      <c r="K17">
        <v>211.1</v>
      </c>
      <c r="L17" s="7" t="b">
        <v>1</v>
      </c>
      <c r="M17" s="8" t="b">
        <v>1</v>
      </c>
      <c r="N17" s="7" t="b">
        <v>1</v>
      </c>
      <c r="O17" s="8" t="b">
        <v>1</v>
      </c>
      <c r="P17" s="7" t="b">
        <v>1</v>
      </c>
      <c r="Q17">
        <f t="shared" si="3"/>
        <v>5</v>
      </c>
      <c r="R17">
        <f t="shared" si="4"/>
        <v>0</v>
      </c>
      <c r="S17" s="11">
        <f t="shared" si="5"/>
        <v>100</v>
      </c>
      <c r="T17" t="str">
        <f t="shared" si="6"/>
        <v>Safe</v>
      </c>
    </row>
    <row r="18" spans="1:20" x14ac:dyDescent="0.25">
      <c r="A18" t="s">
        <v>42</v>
      </c>
      <c r="B18" t="s">
        <v>325</v>
      </c>
      <c r="C18" t="s">
        <v>12</v>
      </c>
      <c r="D18">
        <v>79</v>
      </c>
      <c r="E18">
        <v>41</v>
      </c>
      <c r="F18">
        <v>74</v>
      </c>
      <c r="G18">
        <f t="shared" si="1"/>
        <v>194</v>
      </c>
      <c r="H18" s="2">
        <f t="shared" si="0"/>
        <v>64.666666666666671</v>
      </c>
      <c r="I18">
        <f t="shared" si="2"/>
        <v>2.5</v>
      </c>
      <c r="J18">
        <v>82</v>
      </c>
      <c r="K18">
        <v>211.1</v>
      </c>
      <c r="L18" s="7" t="b">
        <v>0</v>
      </c>
      <c r="M18" s="8" t="b">
        <v>1</v>
      </c>
      <c r="N18" s="7" t="b">
        <v>1</v>
      </c>
      <c r="O18" s="8" t="b">
        <v>1</v>
      </c>
      <c r="P18" s="7" t="b">
        <v>1</v>
      </c>
      <c r="Q18">
        <f t="shared" si="3"/>
        <v>4</v>
      </c>
      <c r="R18">
        <f t="shared" si="4"/>
        <v>1</v>
      </c>
      <c r="S18" s="11">
        <f t="shared" si="5"/>
        <v>80</v>
      </c>
      <c r="T18" t="str">
        <f t="shared" si="6"/>
        <v>Safe</v>
      </c>
    </row>
    <row r="19" spans="1:20" x14ac:dyDescent="0.25">
      <c r="A19" t="s">
        <v>44</v>
      </c>
      <c r="B19" t="s">
        <v>326</v>
      </c>
      <c r="C19" t="s">
        <v>413</v>
      </c>
      <c r="D19">
        <v>61</v>
      </c>
      <c r="E19">
        <v>42</v>
      </c>
      <c r="F19">
        <v>58</v>
      </c>
      <c r="G19">
        <f t="shared" si="1"/>
        <v>161</v>
      </c>
      <c r="H19" s="2">
        <f t="shared" si="0"/>
        <v>53.666666666666664</v>
      </c>
      <c r="I19">
        <f t="shared" si="2"/>
        <v>2</v>
      </c>
      <c r="J19">
        <v>52</v>
      </c>
      <c r="K19">
        <v>211.1</v>
      </c>
      <c r="L19" s="7" t="b">
        <v>1</v>
      </c>
      <c r="M19" s="8" t="b">
        <v>0</v>
      </c>
      <c r="N19" s="7" t="b">
        <v>1</v>
      </c>
      <c r="O19" s="8" t="b">
        <v>1</v>
      </c>
      <c r="P19" s="7" t="b">
        <v>1</v>
      </c>
      <c r="Q19">
        <f t="shared" si="3"/>
        <v>4</v>
      </c>
      <c r="R19">
        <f t="shared" si="4"/>
        <v>1</v>
      </c>
      <c r="S19" s="11">
        <f t="shared" si="5"/>
        <v>80</v>
      </c>
      <c r="T19" t="str">
        <f t="shared" si="6"/>
        <v>Warning</v>
      </c>
    </row>
    <row r="20" spans="1:20" x14ac:dyDescent="0.25">
      <c r="A20" t="s">
        <v>46</v>
      </c>
      <c r="B20" t="s">
        <v>327</v>
      </c>
      <c r="C20" t="s">
        <v>12</v>
      </c>
      <c r="D20">
        <v>66</v>
      </c>
      <c r="E20">
        <v>88</v>
      </c>
      <c r="F20">
        <v>87</v>
      </c>
      <c r="G20">
        <f t="shared" si="1"/>
        <v>241</v>
      </c>
      <c r="H20" s="2">
        <f t="shared" si="0"/>
        <v>80.333333333333329</v>
      </c>
      <c r="I20">
        <f t="shared" si="2"/>
        <v>3.7</v>
      </c>
      <c r="J20">
        <v>67</v>
      </c>
      <c r="K20">
        <v>211.1</v>
      </c>
      <c r="L20" s="7" t="b">
        <v>1</v>
      </c>
      <c r="M20" s="8" t="b">
        <v>1</v>
      </c>
      <c r="N20" s="7" t="b">
        <v>1</v>
      </c>
      <c r="O20" s="8" t="b">
        <v>0</v>
      </c>
      <c r="P20" s="7" t="b">
        <v>1</v>
      </c>
      <c r="Q20">
        <f t="shared" si="3"/>
        <v>4</v>
      </c>
      <c r="R20">
        <f t="shared" si="4"/>
        <v>1</v>
      </c>
      <c r="S20" s="11">
        <f t="shared" si="5"/>
        <v>80</v>
      </c>
      <c r="T20" t="str">
        <f t="shared" si="6"/>
        <v>Safe</v>
      </c>
    </row>
    <row r="21" spans="1:20" x14ac:dyDescent="0.25">
      <c r="A21" t="s">
        <v>48</v>
      </c>
      <c r="B21" t="s">
        <v>328</v>
      </c>
      <c r="C21" t="s">
        <v>15</v>
      </c>
      <c r="D21">
        <v>74</v>
      </c>
      <c r="E21">
        <v>76</v>
      </c>
      <c r="F21">
        <v>55</v>
      </c>
      <c r="G21">
        <f t="shared" si="1"/>
        <v>205</v>
      </c>
      <c r="H21" s="2">
        <f t="shared" si="0"/>
        <v>68.333333333333329</v>
      </c>
      <c r="I21">
        <f t="shared" si="2"/>
        <v>2.5</v>
      </c>
      <c r="J21">
        <v>74</v>
      </c>
      <c r="K21">
        <v>211.1</v>
      </c>
      <c r="L21" s="7" t="b">
        <v>1</v>
      </c>
      <c r="M21" s="8" t="b">
        <v>1</v>
      </c>
      <c r="N21" s="7" t="b">
        <v>1</v>
      </c>
      <c r="O21" s="8" t="b">
        <v>1</v>
      </c>
      <c r="P21" s="7" t="b">
        <v>1</v>
      </c>
      <c r="Q21">
        <f t="shared" si="3"/>
        <v>5</v>
      </c>
      <c r="R21">
        <f t="shared" si="4"/>
        <v>0</v>
      </c>
      <c r="S21" s="11">
        <f t="shared" si="5"/>
        <v>100</v>
      </c>
      <c r="T21" t="str">
        <f t="shared" si="6"/>
        <v>Safe</v>
      </c>
    </row>
    <row r="22" spans="1:20" x14ac:dyDescent="0.25">
      <c r="A22" t="s">
        <v>50</v>
      </c>
      <c r="B22" t="s">
        <v>329</v>
      </c>
      <c r="C22" t="s">
        <v>414</v>
      </c>
      <c r="D22">
        <v>40</v>
      </c>
      <c r="E22">
        <v>34</v>
      </c>
      <c r="F22">
        <v>42</v>
      </c>
      <c r="G22">
        <f t="shared" si="1"/>
        <v>116</v>
      </c>
      <c r="H22" s="2">
        <f t="shared" si="0"/>
        <v>38.666666666666664</v>
      </c>
      <c r="I22">
        <f t="shared" si="2"/>
        <v>0</v>
      </c>
      <c r="J22">
        <v>91</v>
      </c>
      <c r="K22">
        <v>211.1</v>
      </c>
      <c r="L22" s="7" t="b">
        <v>1</v>
      </c>
      <c r="M22" s="8" t="b">
        <v>0</v>
      </c>
      <c r="N22" s="7" t="b">
        <v>1</v>
      </c>
      <c r="O22" s="8" t="b">
        <v>1</v>
      </c>
      <c r="P22" s="7" t="b">
        <v>0</v>
      </c>
      <c r="Q22">
        <f t="shared" si="3"/>
        <v>3</v>
      </c>
      <c r="R22">
        <f t="shared" si="4"/>
        <v>2</v>
      </c>
      <c r="S22" s="11">
        <f t="shared" si="5"/>
        <v>60</v>
      </c>
      <c r="T22" t="str">
        <f t="shared" si="6"/>
        <v>Critical</v>
      </c>
    </row>
    <row r="23" spans="1:20" x14ac:dyDescent="0.25">
      <c r="A23" t="s">
        <v>53</v>
      </c>
      <c r="B23" t="s">
        <v>330</v>
      </c>
      <c r="C23" t="s">
        <v>12</v>
      </c>
      <c r="D23">
        <v>74</v>
      </c>
      <c r="E23">
        <v>95</v>
      </c>
      <c r="F23">
        <v>59</v>
      </c>
      <c r="G23">
        <f t="shared" si="1"/>
        <v>228</v>
      </c>
      <c r="H23" s="2">
        <f t="shared" si="0"/>
        <v>76</v>
      </c>
      <c r="I23">
        <f t="shared" si="2"/>
        <v>3</v>
      </c>
      <c r="J23">
        <v>80</v>
      </c>
      <c r="K23">
        <v>211.1</v>
      </c>
      <c r="L23" s="7" t="b">
        <v>1</v>
      </c>
      <c r="M23" s="8" t="b">
        <v>0</v>
      </c>
      <c r="N23" s="7" t="b">
        <v>0</v>
      </c>
      <c r="O23" s="8" t="b">
        <v>1</v>
      </c>
      <c r="P23" s="7" t="b">
        <v>1</v>
      </c>
      <c r="Q23">
        <f t="shared" si="3"/>
        <v>3</v>
      </c>
      <c r="R23">
        <f t="shared" si="4"/>
        <v>2</v>
      </c>
      <c r="S23" s="11">
        <f t="shared" si="5"/>
        <v>60</v>
      </c>
      <c r="T23" t="str">
        <f t="shared" si="6"/>
        <v>Warning</v>
      </c>
    </row>
    <row r="24" spans="1:20" x14ac:dyDescent="0.25">
      <c r="A24" t="s">
        <v>55</v>
      </c>
      <c r="B24" t="s">
        <v>331</v>
      </c>
      <c r="C24" t="s">
        <v>414</v>
      </c>
      <c r="D24">
        <v>40</v>
      </c>
      <c r="E24">
        <v>54</v>
      </c>
      <c r="F24">
        <v>54</v>
      </c>
      <c r="G24">
        <f t="shared" si="1"/>
        <v>148</v>
      </c>
      <c r="H24" s="2">
        <f t="shared" si="0"/>
        <v>49.333333333333336</v>
      </c>
      <c r="I24">
        <f t="shared" si="2"/>
        <v>0</v>
      </c>
      <c r="J24">
        <v>52</v>
      </c>
      <c r="K24">
        <v>211.1</v>
      </c>
      <c r="L24" s="7" t="b">
        <v>1</v>
      </c>
      <c r="M24" s="8" t="b">
        <v>1</v>
      </c>
      <c r="N24" s="7" t="b">
        <v>1</v>
      </c>
      <c r="O24" s="8" t="b">
        <v>0</v>
      </c>
      <c r="P24" s="7" t="b">
        <v>0</v>
      </c>
      <c r="Q24">
        <f t="shared" si="3"/>
        <v>3</v>
      </c>
      <c r="R24">
        <f t="shared" si="4"/>
        <v>2</v>
      </c>
      <c r="S24" s="11">
        <f t="shared" si="5"/>
        <v>60</v>
      </c>
      <c r="T24" t="str">
        <f t="shared" si="6"/>
        <v>Critical</v>
      </c>
    </row>
    <row r="25" spans="1:20" x14ac:dyDescent="0.25">
      <c r="A25" t="s">
        <v>57</v>
      </c>
      <c r="B25" t="s">
        <v>332</v>
      </c>
      <c r="C25" t="s">
        <v>15</v>
      </c>
      <c r="D25">
        <v>86</v>
      </c>
      <c r="E25">
        <v>98</v>
      </c>
      <c r="F25">
        <v>93</v>
      </c>
      <c r="G25">
        <f t="shared" si="1"/>
        <v>277</v>
      </c>
      <c r="H25" s="2">
        <f t="shared" si="0"/>
        <v>92.333333333333329</v>
      </c>
      <c r="I25">
        <f t="shared" si="2"/>
        <v>4</v>
      </c>
      <c r="J25">
        <v>89</v>
      </c>
      <c r="K25">
        <v>211.1</v>
      </c>
      <c r="L25" s="7" t="b">
        <v>1</v>
      </c>
      <c r="M25" s="8" t="b">
        <v>1</v>
      </c>
      <c r="N25" s="7" t="b">
        <v>1</v>
      </c>
      <c r="O25" s="8" t="b">
        <v>1</v>
      </c>
      <c r="P25" s="7" t="b">
        <v>1</v>
      </c>
      <c r="Q25">
        <f t="shared" si="3"/>
        <v>5</v>
      </c>
      <c r="R25">
        <f t="shared" si="4"/>
        <v>0</v>
      </c>
      <c r="S25" s="11">
        <f t="shared" si="5"/>
        <v>100</v>
      </c>
      <c r="T25" t="str">
        <f t="shared" si="6"/>
        <v>Safe</v>
      </c>
    </row>
    <row r="26" spans="1:20" x14ac:dyDescent="0.25">
      <c r="A26" t="s">
        <v>38</v>
      </c>
      <c r="B26" t="s">
        <v>333</v>
      </c>
      <c r="C26" t="s">
        <v>12</v>
      </c>
      <c r="D26">
        <v>53</v>
      </c>
      <c r="E26">
        <v>88</v>
      </c>
      <c r="F26">
        <v>95</v>
      </c>
      <c r="G26">
        <f t="shared" si="1"/>
        <v>236</v>
      </c>
      <c r="H26" s="2">
        <f t="shared" si="0"/>
        <v>78.666666666666671</v>
      </c>
      <c r="I26">
        <f t="shared" si="2"/>
        <v>3</v>
      </c>
      <c r="J26">
        <v>95</v>
      </c>
      <c r="K26">
        <v>211.1</v>
      </c>
      <c r="L26" s="7" t="b">
        <v>0</v>
      </c>
      <c r="M26" s="8" t="b">
        <v>1</v>
      </c>
      <c r="N26" s="7" t="b">
        <v>1</v>
      </c>
      <c r="O26" s="8" t="b">
        <v>0</v>
      </c>
      <c r="P26" s="7" t="b">
        <v>1</v>
      </c>
      <c r="Q26">
        <f t="shared" si="3"/>
        <v>3</v>
      </c>
      <c r="R26">
        <f t="shared" si="4"/>
        <v>2</v>
      </c>
      <c r="S26" s="11">
        <f t="shared" si="5"/>
        <v>60</v>
      </c>
      <c r="T26" t="str">
        <f t="shared" si="6"/>
        <v>Warning</v>
      </c>
    </row>
    <row r="27" spans="1:20" x14ac:dyDescent="0.25">
      <c r="A27" t="s">
        <v>60</v>
      </c>
      <c r="B27" t="s">
        <v>334</v>
      </c>
      <c r="C27" t="s">
        <v>52</v>
      </c>
      <c r="D27">
        <v>42</v>
      </c>
      <c r="E27">
        <v>41</v>
      </c>
      <c r="F27">
        <v>72</v>
      </c>
      <c r="G27">
        <f t="shared" si="1"/>
        <v>155</v>
      </c>
      <c r="H27" s="2">
        <f t="shared" si="0"/>
        <v>51.666666666666664</v>
      </c>
      <c r="I27">
        <f t="shared" si="2"/>
        <v>2</v>
      </c>
      <c r="J27">
        <v>73</v>
      </c>
      <c r="K27">
        <v>211.1</v>
      </c>
      <c r="L27" s="7" t="b">
        <v>1</v>
      </c>
      <c r="M27" s="8" t="b">
        <v>1</v>
      </c>
      <c r="N27" s="7" t="b">
        <v>1</v>
      </c>
      <c r="O27" s="8" t="b">
        <v>1</v>
      </c>
      <c r="P27" s="7" t="b">
        <v>1</v>
      </c>
      <c r="Q27">
        <f t="shared" si="3"/>
        <v>5</v>
      </c>
      <c r="R27">
        <f t="shared" si="4"/>
        <v>0</v>
      </c>
      <c r="S27" s="11">
        <f t="shared" si="5"/>
        <v>100</v>
      </c>
      <c r="T27" t="str">
        <f t="shared" si="6"/>
        <v>Warning</v>
      </c>
    </row>
    <row r="28" spans="1:20" x14ac:dyDescent="0.25">
      <c r="A28" t="s">
        <v>62</v>
      </c>
      <c r="B28" t="s">
        <v>335</v>
      </c>
      <c r="C28" t="s">
        <v>52</v>
      </c>
      <c r="D28">
        <v>40</v>
      </c>
      <c r="E28">
        <v>41</v>
      </c>
      <c r="F28">
        <v>63</v>
      </c>
      <c r="G28">
        <f t="shared" si="1"/>
        <v>144</v>
      </c>
      <c r="H28" s="2">
        <f t="shared" si="0"/>
        <v>48</v>
      </c>
      <c r="I28">
        <f t="shared" si="2"/>
        <v>0</v>
      </c>
      <c r="J28">
        <v>99</v>
      </c>
      <c r="K28">
        <v>211.1</v>
      </c>
      <c r="L28" s="7" t="b">
        <v>1</v>
      </c>
      <c r="M28" s="8" t="b">
        <v>0</v>
      </c>
      <c r="N28" s="7" t="b">
        <v>1</v>
      </c>
      <c r="O28" s="8" t="b">
        <v>1</v>
      </c>
      <c r="P28" s="7" t="b">
        <v>0</v>
      </c>
      <c r="Q28">
        <f t="shared" si="3"/>
        <v>3</v>
      </c>
      <c r="R28">
        <f t="shared" si="4"/>
        <v>2</v>
      </c>
      <c r="S28" s="11">
        <f t="shared" si="5"/>
        <v>60</v>
      </c>
      <c r="T28" t="str">
        <f t="shared" si="6"/>
        <v>Critical</v>
      </c>
    </row>
    <row r="29" spans="1:20" x14ac:dyDescent="0.25">
      <c r="A29" t="s">
        <v>64</v>
      </c>
      <c r="B29" t="s">
        <v>336</v>
      </c>
      <c r="C29" t="s">
        <v>18</v>
      </c>
      <c r="D29">
        <v>44</v>
      </c>
      <c r="E29">
        <v>67</v>
      </c>
      <c r="F29">
        <v>91</v>
      </c>
      <c r="G29">
        <f t="shared" si="1"/>
        <v>202</v>
      </c>
      <c r="H29" s="2">
        <f t="shared" si="0"/>
        <v>67.333333333333329</v>
      </c>
      <c r="I29">
        <f t="shared" si="2"/>
        <v>2.5</v>
      </c>
      <c r="J29">
        <v>81</v>
      </c>
      <c r="K29">
        <v>211.1</v>
      </c>
      <c r="L29" s="7" t="b">
        <v>1</v>
      </c>
      <c r="M29" s="8" t="b">
        <v>1</v>
      </c>
      <c r="N29" s="7" t="b">
        <v>1</v>
      </c>
      <c r="O29" s="8" t="b">
        <v>1</v>
      </c>
      <c r="P29" s="7" t="b">
        <v>1</v>
      </c>
      <c r="Q29">
        <f t="shared" si="3"/>
        <v>5</v>
      </c>
      <c r="R29">
        <f t="shared" si="4"/>
        <v>0</v>
      </c>
      <c r="S29" s="11">
        <f t="shared" si="5"/>
        <v>100</v>
      </c>
      <c r="T29" t="str">
        <f t="shared" si="6"/>
        <v>Safe</v>
      </c>
    </row>
    <row r="30" spans="1:20" x14ac:dyDescent="0.25">
      <c r="A30" t="s">
        <v>66</v>
      </c>
      <c r="B30" t="s">
        <v>337</v>
      </c>
      <c r="C30" t="s">
        <v>18</v>
      </c>
      <c r="D30">
        <v>65</v>
      </c>
      <c r="E30">
        <v>93</v>
      </c>
      <c r="F30">
        <v>50</v>
      </c>
      <c r="G30">
        <f t="shared" si="1"/>
        <v>208</v>
      </c>
      <c r="H30" s="2">
        <f t="shared" si="0"/>
        <v>69.333333333333329</v>
      </c>
      <c r="I30">
        <f t="shared" si="2"/>
        <v>2.5</v>
      </c>
      <c r="J30">
        <v>96</v>
      </c>
      <c r="K30">
        <v>211.1</v>
      </c>
      <c r="L30" s="7" t="b">
        <v>1</v>
      </c>
      <c r="M30" s="8" t="b">
        <v>1</v>
      </c>
      <c r="N30" s="7" t="b">
        <v>1</v>
      </c>
      <c r="O30" s="8" t="b">
        <v>0</v>
      </c>
      <c r="P30" s="7" t="b">
        <v>1</v>
      </c>
      <c r="Q30">
        <f t="shared" si="3"/>
        <v>4</v>
      </c>
      <c r="R30">
        <f t="shared" si="4"/>
        <v>1</v>
      </c>
      <c r="S30" s="11">
        <f t="shared" si="5"/>
        <v>80</v>
      </c>
      <c r="T30" t="str">
        <f t="shared" si="6"/>
        <v>Safe</v>
      </c>
    </row>
    <row r="31" spans="1:20" x14ac:dyDescent="0.25">
      <c r="A31" t="s">
        <v>26</v>
      </c>
      <c r="B31" t="s">
        <v>338</v>
      </c>
      <c r="C31" t="s">
        <v>25</v>
      </c>
      <c r="D31">
        <v>94</v>
      </c>
      <c r="E31">
        <v>62</v>
      </c>
      <c r="F31">
        <v>88</v>
      </c>
      <c r="G31">
        <f t="shared" si="1"/>
        <v>244</v>
      </c>
      <c r="H31" s="2">
        <f t="shared" si="0"/>
        <v>81.333333333333329</v>
      </c>
      <c r="I31">
        <f t="shared" si="2"/>
        <v>3.7</v>
      </c>
      <c r="J31">
        <v>71</v>
      </c>
      <c r="K31">
        <v>211.1</v>
      </c>
      <c r="L31" s="7" t="b">
        <v>1</v>
      </c>
      <c r="M31" s="8" t="b">
        <v>0</v>
      </c>
      <c r="N31" s="7" t="b">
        <v>1</v>
      </c>
      <c r="O31" s="8" t="b">
        <v>0</v>
      </c>
      <c r="P31" s="7" t="b">
        <v>1</v>
      </c>
      <c r="Q31">
        <f t="shared" si="3"/>
        <v>3</v>
      </c>
      <c r="R31">
        <f t="shared" si="4"/>
        <v>2</v>
      </c>
      <c r="S31" s="11">
        <f t="shared" si="5"/>
        <v>60</v>
      </c>
      <c r="T31" t="str">
        <f t="shared" si="6"/>
        <v>Warning</v>
      </c>
    </row>
    <row r="32" spans="1:20" x14ac:dyDescent="0.25">
      <c r="A32" t="s">
        <v>69</v>
      </c>
      <c r="B32" t="s">
        <v>339</v>
      </c>
      <c r="C32" t="s">
        <v>12</v>
      </c>
      <c r="D32">
        <v>53</v>
      </c>
      <c r="E32">
        <v>76</v>
      </c>
      <c r="F32">
        <v>47</v>
      </c>
      <c r="G32">
        <f t="shared" si="1"/>
        <v>176</v>
      </c>
      <c r="H32" s="2">
        <f t="shared" si="0"/>
        <v>58.666666666666664</v>
      </c>
      <c r="I32">
        <f t="shared" si="2"/>
        <v>2</v>
      </c>
      <c r="J32">
        <v>72</v>
      </c>
      <c r="K32">
        <v>211.1</v>
      </c>
      <c r="L32" s="7" t="b">
        <v>1</v>
      </c>
      <c r="M32" s="8" t="b">
        <v>0</v>
      </c>
      <c r="N32" s="7" t="b">
        <v>0</v>
      </c>
      <c r="O32" s="8" t="b">
        <v>0</v>
      </c>
      <c r="P32" s="7" t="b">
        <v>1</v>
      </c>
      <c r="Q32">
        <f t="shared" si="3"/>
        <v>2</v>
      </c>
      <c r="R32">
        <f t="shared" si="4"/>
        <v>3</v>
      </c>
      <c r="S32" s="11">
        <f t="shared" si="5"/>
        <v>40</v>
      </c>
      <c r="T32" t="str">
        <f t="shared" si="6"/>
        <v>Warning</v>
      </c>
    </row>
    <row r="33" spans="1:20" x14ac:dyDescent="0.25">
      <c r="A33" t="s">
        <v>71</v>
      </c>
      <c r="B33" t="s">
        <v>340</v>
      </c>
      <c r="C33" t="s">
        <v>12</v>
      </c>
      <c r="D33">
        <v>78</v>
      </c>
      <c r="E33">
        <v>71</v>
      </c>
      <c r="F33">
        <v>75</v>
      </c>
      <c r="G33">
        <f t="shared" si="1"/>
        <v>224</v>
      </c>
      <c r="H33" s="2">
        <f t="shared" si="0"/>
        <v>74.666666666666671</v>
      </c>
      <c r="I33">
        <f t="shared" si="2"/>
        <v>3</v>
      </c>
      <c r="J33">
        <v>51</v>
      </c>
      <c r="K33">
        <v>211.1</v>
      </c>
      <c r="L33" s="7" t="b">
        <v>1</v>
      </c>
      <c r="M33" s="8" t="b">
        <v>1</v>
      </c>
      <c r="N33" s="7" t="b">
        <v>1</v>
      </c>
      <c r="O33" s="8" t="b">
        <v>1</v>
      </c>
      <c r="P33" s="7" t="b">
        <v>0</v>
      </c>
      <c r="Q33">
        <f t="shared" si="3"/>
        <v>4</v>
      </c>
      <c r="R33">
        <f t="shared" si="4"/>
        <v>1</v>
      </c>
      <c r="S33" s="11">
        <f t="shared" si="5"/>
        <v>80</v>
      </c>
      <c r="T33" t="str">
        <f t="shared" si="6"/>
        <v>Safe</v>
      </c>
    </row>
    <row r="34" spans="1:20" x14ac:dyDescent="0.25">
      <c r="A34" t="s">
        <v>73</v>
      </c>
      <c r="B34" t="s">
        <v>341</v>
      </c>
      <c r="C34" t="s">
        <v>18</v>
      </c>
      <c r="D34">
        <v>66</v>
      </c>
      <c r="E34">
        <v>72</v>
      </c>
      <c r="F34">
        <v>77</v>
      </c>
      <c r="G34">
        <f t="shared" si="1"/>
        <v>215</v>
      </c>
      <c r="H34" s="2">
        <f t="shared" si="0"/>
        <v>71.666666666666671</v>
      </c>
      <c r="I34">
        <f t="shared" si="2"/>
        <v>3</v>
      </c>
      <c r="J34">
        <v>76</v>
      </c>
      <c r="K34">
        <v>211.1</v>
      </c>
      <c r="L34" s="7" t="b">
        <v>0</v>
      </c>
      <c r="M34" s="8" t="b">
        <v>1</v>
      </c>
      <c r="N34" s="7" t="b">
        <v>1</v>
      </c>
      <c r="O34" s="8" t="b">
        <v>1</v>
      </c>
      <c r="P34" s="7" t="b">
        <v>1</v>
      </c>
      <c r="Q34">
        <f t="shared" si="3"/>
        <v>4</v>
      </c>
      <c r="R34">
        <f t="shared" si="4"/>
        <v>1</v>
      </c>
      <c r="S34" s="11">
        <f t="shared" si="5"/>
        <v>80</v>
      </c>
      <c r="T34" t="str">
        <f t="shared" si="6"/>
        <v>Safe</v>
      </c>
    </row>
    <row r="35" spans="1:20" x14ac:dyDescent="0.25">
      <c r="A35" t="s">
        <v>75</v>
      </c>
      <c r="B35" t="s">
        <v>342</v>
      </c>
      <c r="C35" t="s">
        <v>12</v>
      </c>
      <c r="D35">
        <v>48</v>
      </c>
      <c r="E35">
        <v>40</v>
      </c>
      <c r="F35">
        <v>79</v>
      </c>
      <c r="G35">
        <f t="shared" si="1"/>
        <v>167</v>
      </c>
      <c r="H35" s="2">
        <f t="shared" si="0"/>
        <v>55.666666666666664</v>
      </c>
      <c r="I35">
        <f t="shared" si="2"/>
        <v>2</v>
      </c>
      <c r="J35">
        <v>91</v>
      </c>
      <c r="K35">
        <v>211.1</v>
      </c>
      <c r="L35" s="7" t="b">
        <v>1</v>
      </c>
      <c r="M35" s="8" t="b">
        <v>1</v>
      </c>
      <c r="N35" s="7" t="b">
        <v>1</v>
      </c>
      <c r="O35" s="8" t="b">
        <v>0</v>
      </c>
      <c r="P35" s="7" t="b">
        <v>0</v>
      </c>
      <c r="Q35">
        <f t="shared" si="3"/>
        <v>3</v>
      </c>
      <c r="R35">
        <f t="shared" si="4"/>
        <v>2</v>
      </c>
      <c r="S35" s="11">
        <f t="shared" si="5"/>
        <v>60</v>
      </c>
      <c r="T35" t="str">
        <f t="shared" si="6"/>
        <v>Warning</v>
      </c>
    </row>
    <row r="36" spans="1:20" x14ac:dyDescent="0.25">
      <c r="A36" t="s">
        <v>77</v>
      </c>
      <c r="B36" t="s">
        <v>343</v>
      </c>
      <c r="C36" t="s">
        <v>12</v>
      </c>
      <c r="D36">
        <v>54</v>
      </c>
      <c r="E36">
        <v>58</v>
      </c>
      <c r="F36">
        <v>59</v>
      </c>
      <c r="G36">
        <f t="shared" si="1"/>
        <v>171</v>
      </c>
      <c r="H36" s="2">
        <f t="shared" si="0"/>
        <v>57</v>
      </c>
      <c r="I36">
        <f t="shared" si="2"/>
        <v>2</v>
      </c>
      <c r="J36">
        <v>51</v>
      </c>
      <c r="K36">
        <v>211.1</v>
      </c>
      <c r="L36" s="7" t="b">
        <v>1</v>
      </c>
      <c r="M36" s="8" t="b">
        <v>1</v>
      </c>
      <c r="N36" s="7" t="b">
        <v>0</v>
      </c>
      <c r="O36" s="8" t="b">
        <v>1</v>
      </c>
      <c r="P36" s="7" t="b">
        <v>1</v>
      </c>
      <c r="Q36">
        <f t="shared" si="3"/>
        <v>4</v>
      </c>
      <c r="R36">
        <f t="shared" si="4"/>
        <v>1</v>
      </c>
      <c r="S36" s="11">
        <f t="shared" si="5"/>
        <v>80</v>
      </c>
      <c r="T36" t="str">
        <f t="shared" si="6"/>
        <v>Warning</v>
      </c>
    </row>
    <row r="37" spans="1:20" x14ac:dyDescent="0.25">
      <c r="A37" t="s">
        <v>79</v>
      </c>
      <c r="B37" t="s">
        <v>344</v>
      </c>
      <c r="C37" t="s">
        <v>52</v>
      </c>
      <c r="D37">
        <v>54</v>
      </c>
      <c r="E37">
        <v>41</v>
      </c>
      <c r="F37">
        <v>74</v>
      </c>
      <c r="G37">
        <f t="shared" si="1"/>
        <v>169</v>
      </c>
      <c r="H37" s="2">
        <f t="shared" si="0"/>
        <v>56.333333333333336</v>
      </c>
      <c r="I37">
        <f t="shared" si="2"/>
        <v>2</v>
      </c>
      <c r="J37">
        <v>75</v>
      </c>
      <c r="K37">
        <v>211.1</v>
      </c>
      <c r="L37" s="7" t="b">
        <v>1</v>
      </c>
      <c r="M37" s="8" t="b">
        <v>0</v>
      </c>
      <c r="N37" s="7" t="b">
        <v>1</v>
      </c>
      <c r="O37" s="8" t="b">
        <v>1</v>
      </c>
      <c r="P37" s="7" t="b">
        <v>0</v>
      </c>
      <c r="Q37">
        <f t="shared" si="3"/>
        <v>3</v>
      </c>
      <c r="R37">
        <f t="shared" si="4"/>
        <v>2</v>
      </c>
      <c r="S37" s="11">
        <f t="shared" si="5"/>
        <v>60</v>
      </c>
      <c r="T37" t="str">
        <f t="shared" si="6"/>
        <v>Warning</v>
      </c>
    </row>
    <row r="38" spans="1:20" x14ac:dyDescent="0.25">
      <c r="A38" t="s">
        <v>21</v>
      </c>
      <c r="B38" t="s">
        <v>345</v>
      </c>
      <c r="C38" t="s">
        <v>18</v>
      </c>
      <c r="D38">
        <v>65</v>
      </c>
      <c r="E38">
        <v>92</v>
      </c>
      <c r="F38">
        <v>87</v>
      </c>
      <c r="G38">
        <f t="shared" si="1"/>
        <v>244</v>
      </c>
      <c r="H38" s="2">
        <f t="shared" si="0"/>
        <v>81.333333333333329</v>
      </c>
      <c r="I38">
        <f t="shared" si="2"/>
        <v>3.7</v>
      </c>
      <c r="J38">
        <v>66</v>
      </c>
      <c r="K38">
        <v>211.1</v>
      </c>
      <c r="L38" s="7" t="b">
        <v>1</v>
      </c>
      <c r="M38" s="8" t="b">
        <v>1</v>
      </c>
      <c r="N38" s="7" t="b">
        <v>1</v>
      </c>
      <c r="O38" s="8" t="b">
        <v>1</v>
      </c>
      <c r="P38" s="7" t="b">
        <v>1</v>
      </c>
      <c r="Q38">
        <f t="shared" si="3"/>
        <v>5</v>
      </c>
      <c r="R38">
        <f t="shared" si="4"/>
        <v>0</v>
      </c>
      <c r="S38" s="11">
        <f t="shared" si="5"/>
        <v>100</v>
      </c>
      <c r="T38" t="str">
        <f t="shared" si="6"/>
        <v>Safe</v>
      </c>
    </row>
    <row r="39" spans="1:20" x14ac:dyDescent="0.25">
      <c r="A39" t="s">
        <v>82</v>
      </c>
      <c r="B39" t="s">
        <v>346</v>
      </c>
      <c r="C39" t="s">
        <v>15</v>
      </c>
      <c r="D39">
        <v>81</v>
      </c>
      <c r="E39">
        <v>83</v>
      </c>
      <c r="F39">
        <v>64</v>
      </c>
      <c r="G39">
        <f t="shared" si="1"/>
        <v>228</v>
      </c>
      <c r="H39" s="2">
        <f t="shared" si="0"/>
        <v>76</v>
      </c>
      <c r="I39">
        <f t="shared" si="2"/>
        <v>3</v>
      </c>
      <c r="J39">
        <v>89</v>
      </c>
      <c r="K39">
        <v>211.1</v>
      </c>
      <c r="L39" s="7" t="b">
        <v>1</v>
      </c>
      <c r="M39" s="8" t="b">
        <v>1</v>
      </c>
      <c r="N39" s="7" t="b">
        <v>1</v>
      </c>
      <c r="O39" s="8" t="b">
        <v>0</v>
      </c>
      <c r="P39" s="7" t="b">
        <v>1</v>
      </c>
      <c r="Q39">
        <f t="shared" si="3"/>
        <v>4</v>
      </c>
      <c r="R39">
        <f t="shared" si="4"/>
        <v>1</v>
      </c>
      <c r="S39" s="11">
        <f t="shared" si="5"/>
        <v>80</v>
      </c>
      <c r="T39" t="str">
        <f t="shared" si="6"/>
        <v>Safe</v>
      </c>
    </row>
    <row r="40" spans="1:20" x14ac:dyDescent="0.25">
      <c r="A40" t="s">
        <v>84</v>
      </c>
      <c r="B40" t="s">
        <v>347</v>
      </c>
      <c r="C40" t="s">
        <v>18</v>
      </c>
      <c r="D40">
        <v>99</v>
      </c>
      <c r="E40">
        <v>65</v>
      </c>
      <c r="F40">
        <v>74</v>
      </c>
      <c r="G40">
        <f t="shared" si="1"/>
        <v>238</v>
      </c>
      <c r="H40" s="2">
        <f t="shared" si="0"/>
        <v>79.333333333333329</v>
      </c>
      <c r="I40">
        <f t="shared" si="2"/>
        <v>3</v>
      </c>
      <c r="J40">
        <v>82</v>
      </c>
      <c r="K40">
        <v>211.1</v>
      </c>
      <c r="L40" s="7" t="b">
        <v>1</v>
      </c>
      <c r="M40" s="8" t="b">
        <v>0</v>
      </c>
      <c r="N40" s="7" t="b">
        <v>1</v>
      </c>
      <c r="O40" s="8" t="b">
        <v>1</v>
      </c>
      <c r="P40" s="7" t="b">
        <v>1</v>
      </c>
      <c r="Q40">
        <f t="shared" si="3"/>
        <v>4</v>
      </c>
      <c r="R40">
        <f t="shared" si="4"/>
        <v>1</v>
      </c>
      <c r="S40" s="11">
        <f t="shared" si="5"/>
        <v>80</v>
      </c>
      <c r="T40" t="str">
        <f t="shared" si="6"/>
        <v>Safe</v>
      </c>
    </row>
    <row r="41" spans="1:20" x14ac:dyDescent="0.25">
      <c r="A41" t="s">
        <v>10</v>
      </c>
      <c r="B41" t="s">
        <v>348</v>
      </c>
      <c r="C41" t="s">
        <v>15</v>
      </c>
      <c r="D41">
        <v>52</v>
      </c>
      <c r="E41">
        <v>71</v>
      </c>
      <c r="F41">
        <v>64</v>
      </c>
      <c r="G41">
        <f t="shared" si="1"/>
        <v>187</v>
      </c>
      <c r="H41" s="2">
        <f t="shared" si="0"/>
        <v>62.333333333333336</v>
      </c>
      <c r="I41">
        <f t="shared" si="2"/>
        <v>2.5</v>
      </c>
      <c r="J41">
        <v>58</v>
      </c>
      <c r="K41">
        <v>211.1</v>
      </c>
      <c r="L41" s="7" t="b">
        <v>1</v>
      </c>
      <c r="M41" s="8" t="b">
        <v>0</v>
      </c>
      <c r="N41" s="7" t="b">
        <v>1</v>
      </c>
      <c r="O41" s="8" t="b">
        <v>0</v>
      </c>
      <c r="P41" s="7" t="b">
        <v>0</v>
      </c>
      <c r="Q41">
        <f t="shared" si="3"/>
        <v>2</v>
      </c>
      <c r="R41">
        <f t="shared" si="4"/>
        <v>3</v>
      </c>
      <c r="S41" s="11">
        <f t="shared" si="5"/>
        <v>40</v>
      </c>
      <c r="T41" t="str">
        <f t="shared" si="6"/>
        <v>Warning</v>
      </c>
    </row>
    <row r="42" spans="1:20" x14ac:dyDescent="0.25">
      <c r="A42" t="s">
        <v>87</v>
      </c>
      <c r="B42" t="s">
        <v>349</v>
      </c>
      <c r="C42" t="s">
        <v>52</v>
      </c>
      <c r="D42">
        <v>90</v>
      </c>
      <c r="E42">
        <v>45</v>
      </c>
      <c r="F42">
        <v>68</v>
      </c>
      <c r="G42">
        <f t="shared" si="1"/>
        <v>203</v>
      </c>
      <c r="H42" s="2">
        <f t="shared" si="0"/>
        <v>67.666666666666671</v>
      </c>
      <c r="I42">
        <f t="shared" si="2"/>
        <v>2.5</v>
      </c>
      <c r="J42">
        <v>92</v>
      </c>
      <c r="K42">
        <v>211.1</v>
      </c>
      <c r="L42" s="7" t="b">
        <v>0</v>
      </c>
      <c r="M42" s="8" t="b">
        <v>1</v>
      </c>
      <c r="N42" s="7" t="b">
        <v>1</v>
      </c>
      <c r="O42" s="8" t="b">
        <v>1</v>
      </c>
      <c r="P42" s="7" t="b">
        <v>1</v>
      </c>
      <c r="Q42">
        <f t="shared" si="3"/>
        <v>4</v>
      </c>
      <c r="R42">
        <f t="shared" si="4"/>
        <v>1</v>
      </c>
      <c r="S42" s="11">
        <f t="shared" si="5"/>
        <v>80</v>
      </c>
      <c r="T42" t="str">
        <f t="shared" si="6"/>
        <v>Safe</v>
      </c>
    </row>
    <row r="43" spans="1:20" x14ac:dyDescent="0.25">
      <c r="A43" t="s">
        <v>89</v>
      </c>
      <c r="B43" t="s">
        <v>350</v>
      </c>
      <c r="C43" t="s">
        <v>25</v>
      </c>
      <c r="D43">
        <v>71</v>
      </c>
      <c r="E43">
        <v>71</v>
      </c>
      <c r="F43">
        <v>57</v>
      </c>
      <c r="G43">
        <f t="shared" si="1"/>
        <v>199</v>
      </c>
      <c r="H43" s="2">
        <f t="shared" si="0"/>
        <v>66.333333333333329</v>
      </c>
      <c r="I43">
        <f t="shared" si="2"/>
        <v>2.5</v>
      </c>
      <c r="J43">
        <v>97</v>
      </c>
      <c r="K43">
        <v>211.1</v>
      </c>
      <c r="L43" s="7" t="b">
        <v>1</v>
      </c>
      <c r="M43" s="8" t="b">
        <v>1</v>
      </c>
      <c r="N43" s="7" t="b">
        <v>1</v>
      </c>
      <c r="O43" s="8" t="b">
        <v>1</v>
      </c>
      <c r="P43" s="7" t="b">
        <v>1</v>
      </c>
      <c r="Q43">
        <f t="shared" si="3"/>
        <v>5</v>
      </c>
      <c r="R43">
        <f t="shared" si="4"/>
        <v>0</v>
      </c>
      <c r="S43" s="11">
        <f t="shared" si="5"/>
        <v>100</v>
      </c>
      <c r="T43" t="str">
        <f t="shared" si="6"/>
        <v>Safe</v>
      </c>
    </row>
    <row r="44" spans="1:20" x14ac:dyDescent="0.25">
      <c r="A44" t="s">
        <v>91</v>
      </c>
      <c r="B44" t="s">
        <v>351</v>
      </c>
      <c r="C44" t="s">
        <v>12</v>
      </c>
      <c r="D44">
        <v>78</v>
      </c>
      <c r="E44">
        <v>94</v>
      </c>
      <c r="F44">
        <v>85</v>
      </c>
      <c r="G44">
        <f t="shared" si="1"/>
        <v>257</v>
      </c>
      <c r="H44" s="2">
        <f t="shared" si="0"/>
        <v>85.666666666666671</v>
      </c>
      <c r="I44">
        <f t="shared" si="2"/>
        <v>3.7</v>
      </c>
      <c r="J44">
        <v>88</v>
      </c>
      <c r="K44">
        <v>211.1</v>
      </c>
      <c r="L44" s="7" t="b">
        <v>1</v>
      </c>
      <c r="M44" s="8" t="b">
        <v>1</v>
      </c>
      <c r="N44" s="7" t="b">
        <v>1</v>
      </c>
      <c r="O44" s="8" t="b">
        <v>1</v>
      </c>
      <c r="P44" s="7" t="b">
        <v>1</v>
      </c>
      <c r="Q44">
        <f t="shared" si="3"/>
        <v>5</v>
      </c>
      <c r="R44">
        <f t="shared" si="4"/>
        <v>0</v>
      </c>
      <c r="S44" s="11">
        <f t="shared" si="5"/>
        <v>100</v>
      </c>
      <c r="T44" t="str">
        <f t="shared" si="6"/>
        <v>Safe</v>
      </c>
    </row>
    <row r="45" spans="1:20" x14ac:dyDescent="0.25">
      <c r="A45" t="s">
        <v>93</v>
      </c>
      <c r="B45" t="s">
        <v>352</v>
      </c>
      <c r="C45" t="s">
        <v>52</v>
      </c>
      <c r="D45">
        <v>88</v>
      </c>
      <c r="E45">
        <v>43</v>
      </c>
      <c r="F45">
        <v>57</v>
      </c>
      <c r="G45">
        <f t="shared" si="1"/>
        <v>188</v>
      </c>
      <c r="H45" s="2">
        <f t="shared" si="0"/>
        <v>62.666666666666664</v>
      </c>
      <c r="I45">
        <f t="shared" si="2"/>
        <v>2.5</v>
      </c>
      <c r="J45">
        <v>78</v>
      </c>
      <c r="K45">
        <v>211.1</v>
      </c>
      <c r="L45" s="7" t="b">
        <v>1</v>
      </c>
      <c r="M45" s="8" t="b">
        <v>1</v>
      </c>
      <c r="N45" s="7" t="b">
        <v>0</v>
      </c>
      <c r="O45" s="8" t="b">
        <v>1</v>
      </c>
      <c r="P45" s="7" t="b">
        <v>1</v>
      </c>
      <c r="Q45">
        <f t="shared" si="3"/>
        <v>4</v>
      </c>
      <c r="R45">
        <f t="shared" si="4"/>
        <v>1</v>
      </c>
      <c r="S45" s="11">
        <f t="shared" si="5"/>
        <v>80</v>
      </c>
      <c r="T45" t="str">
        <f t="shared" si="6"/>
        <v>Safe</v>
      </c>
    </row>
    <row r="46" spans="1:20" x14ac:dyDescent="0.25">
      <c r="A46" t="s">
        <v>38</v>
      </c>
      <c r="B46" t="s">
        <v>353</v>
      </c>
      <c r="C46" t="s">
        <v>12</v>
      </c>
      <c r="D46">
        <v>91</v>
      </c>
      <c r="E46">
        <v>94</v>
      </c>
      <c r="F46">
        <v>41</v>
      </c>
      <c r="G46">
        <f t="shared" si="1"/>
        <v>226</v>
      </c>
      <c r="H46" s="2">
        <f t="shared" si="0"/>
        <v>75.333333333333329</v>
      </c>
      <c r="I46">
        <f t="shared" si="2"/>
        <v>3</v>
      </c>
      <c r="J46">
        <v>91</v>
      </c>
      <c r="K46">
        <v>211.1</v>
      </c>
      <c r="L46" s="7" t="b">
        <v>1</v>
      </c>
      <c r="M46" s="8" t="b">
        <v>0</v>
      </c>
      <c r="N46" s="7" t="b">
        <v>1</v>
      </c>
      <c r="O46" s="8" t="b">
        <v>1</v>
      </c>
      <c r="P46" s="7" t="b">
        <v>1</v>
      </c>
      <c r="Q46">
        <f t="shared" si="3"/>
        <v>4</v>
      </c>
      <c r="R46">
        <f t="shared" si="4"/>
        <v>1</v>
      </c>
      <c r="S46" s="11">
        <f t="shared" si="5"/>
        <v>80</v>
      </c>
      <c r="T46" t="str">
        <f t="shared" si="6"/>
        <v>Safe</v>
      </c>
    </row>
    <row r="47" spans="1:20" x14ac:dyDescent="0.25">
      <c r="A47" t="s">
        <v>13</v>
      </c>
      <c r="B47" t="s">
        <v>354</v>
      </c>
      <c r="C47" t="s">
        <v>25</v>
      </c>
      <c r="D47">
        <v>100</v>
      </c>
      <c r="E47">
        <v>50</v>
      </c>
      <c r="F47">
        <v>93</v>
      </c>
      <c r="G47">
        <f t="shared" si="1"/>
        <v>243</v>
      </c>
      <c r="H47" s="2">
        <f t="shared" si="0"/>
        <v>81</v>
      </c>
      <c r="I47">
        <f t="shared" si="2"/>
        <v>3.7</v>
      </c>
      <c r="J47">
        <v>75</v>
      </c>
      <c r="K47">
        <v>211.1</v>
      </c>
      <c r="L47" s="7" t="b">
        <v>1</v>
      </c>
      <c r="M47" s="8" t="b">
        <v>1</v>
      </c>
      <c r="N47" s="7" t="b">
        <v>1</v>
      </c>
      <c r="O47" s="8" t="b">
        <v>0</v>
      </c>
      <c r="P47" s="7" t="b">
        <v>1</v>
      </c>
      <c r="Q47">
        <f t="shared" si="3"/>
        <v>4</v>
      </c>
      <c r="R47">
        <f t="shared" si="4"/>
        <v>1</v>
      </c>
      <c r="S47" s="11">
        <f t="shared" si="5"/>
        <v>80</v>
      </c>
      <c r="T47" t="str">
        <f t="shared" si="6"/>
        <v>Safe</v>
      </c>
    </row>
    <row r="48" spans="1:20" x14ac:dyDescent="0.25">
      <c r="A48" t="s">
        <v>36</v>
      </c>
      <c r="B48" t="s">
        <v>355</v>
      </c>
      <c r="C48" t="s">
        <v>25</v>
      </c>
      <c r="D48">
        <v>71</v>
      </c>
      <c r="E48">
        <v>95</v>
      </c>
      <c r="F48">
        <v>74</v>
      </c>
      <c r="G48">
        <f t="shared" si="1"/>
        <v>240</v>
      </c>
      <c r="H48" s="2">
        <f t="shared" si="0"/>
        <v>80</v>
      </c>
      <c r="I48">
        <f t="shared" si="2"/>
        <v>3.7</v>
      </c>
      <c r="J48">
        <v>84</v>
      </c>
      <c r="K48">
        <v>211.1</v>
      </c>
      <c r="L48" s="7" t="b">
        <v>1</v>
      </c>
      <c r="M48" s="8" t="b">
        <v>1</v>
      </c>
      <c r="N48" s="7" t="b">
        <v>1</v>
      </c>
      <c r="O48" s="8" t="b">
        <v>1</v>
      </c>
      <c r="P48" s="7" t="b">
        <v>0</v>
      </c>
      <c r="Q48">
        <f t="shared" si="3"/>
        <v>4</v>
      </c>
      <c r="R48">
        <f t="shared" si="4"/>
        <v>1</v>
      </c>
      <c r="S48" s="11">
        <f t="shared" si="5"/>
        <v>80</v>
      </c>
      <c r="T48" t="str">
        <f t="shared" si="6"/>
        <v>Safe</v>
      </c>
    </row>
    <row r="49" spans="1:20" x14ac:dyDescent="0.25">
      <c r="A49" t="s">
        <v>64</v>
      </c>
      <c r="B49" t="s">
        <v>356</v>
      </c>
      <c r="C49" t="s">
        <v>52</v>
      </c>
      <c r="D49">
        <v>43</v>
      </c>
      <c r="E49">
        <v>98</v>
      </c>
      <c r="F49">
        <v>55</v>
      </c>
      <c r="G49">
        <f t="shared" si="1"/>
        <v>196</v>
      </c>
      <c r="H49" s="2">
        <f t="shared" si="0"/>
        <v>65.333333333333329</v>
      </c>
      <c r="I49">
        <f t="shared" si="2"/>
        <v>2.5</v>
      </c>
      <c r="J49">
        <v>99</v>
      </c>
      <c r="K49">
        <v>211.1</v>
      </c>
      <c r="L49" s="7" t="b">
        <v>1</v>
      </c>
      <c r="M49" s="8" t="b">
        <v>0</v>
      </c>
      <c r="N49" s="7" t="b">
        <v>1</v>
      </c>
      <c r="O49" s="8" t="b">
        <v>1</v>
      </c>
      <c r="P49" s="7" t="b">
        <v>1</v>
      </c>
      <c r="Q49">
        <f t="shared" si="3"/>
        <v>4</v>
      </c>
      <c r="R49">
        <f t="shared" si="4"/>
        <v>1</v>
      </c>
      <c r="S49" s="11">
        <f t="shared" si="5"/>
        <v>80</v>
      </c>
      <c r="T49" t="str">
        <f t="shared" si="6"/>
        <v>Safe</v>
      </c>
    </row>
    <row r="50" spans="1:20" x14ac:dyDescent="0.25">
      <c r="A50" t="s">
        <v>84</v>
      </c>
      <c r="B50" t="s">
        <v>357</v>
      </c>
      <c r="C50" t="s">
        <v>25</v>
      </c>
      <c r="D50">
        <v>69</v>
      </c>
      <c r="E50">
        <v>56</v>
      </c>
      <c r="F50">
        <v>100</v>
      </c>
      <c r="G50">
        <f t="shared" si="1"/>
        <v>225</v>
      </c>
      <c r="H50" s="2">
        <f t="shared" si="0"/>
        <v>75</v>
      </c>
      <c r="I50">
        <f t="shared" si="2"/>
        <v>3</v>
      </c>
      <c r="J50">
        <v>74</v>
      </c>
      <c r="K50">
        <v>211.1</v>
      </c>
      <c r="L50" s="7" t="b">
        <v>0</v>
      </c>
      <c r="M50" s="8" t="b">
        <v>1</v>
      </c>
      <c r="N50" s="7" t="b">
        <v>1</v>
      </c>
      <c r="O50" s="8" t="b">
        <v>1</v>
      </c>
      <c r="P50" s="7" t="b">
        <v>1</v>
      </c>
      <c r="Q50">
        <f t="shared" si="3"/>
        <v>4</v>
      </c>
      <c r="R50">
        <f t="shared" si="4"/>
        <v>1</v>
      </c>
      <c r="S50" s="11">
        <f t="shared" si="5"/>
        <v>80</v>
      </c>
      <c r="T50" t="str">
        <f t="shared" si="6"/>
        <v>Safe</v>
      </c>
    </row>
    <row r="51" spans="1:20" x14ac:dyDescent="0.25">
      <c r="A51" t="s">
        <v>19</v>
      </c>
      <c r="B51" t="s">
        <v>358</v>
      </c>
      <c r="C51" t="s">
        <v>15</v>
      </c>
      <c r="D51">
        <v>76</v>
      </c>
      <c r="E51">
        <v>77</v>
      </c>
      <c r="F51">
        <v>80</v>
      </c>
      <c r="G51">
        <f t="shared" si="1"/>
        <v>233</v>
      </c>
      <c r="H51" s="2">
        <f t="shared" si="0"/>
        <v>77.666666666666671</v>
      </c>
      <c r="I51">
        <f t="shared" si="2"/>
        <v>3</v>
      </c>
      <c r="J51">
        <v>73</v>
      </c>
      <c r="K51">
        <v>211.1</v>
      </c>
      <c r="L51" s="7" t="b">
        <v>1</v>
      </c>
      <c r="M51" s="8" t="b">
        <v>1</v>
      </c>
      <c r="N51" s="7" t="b">
        <v>1</v>
      </c>
      <c r="O51" s="8" t="b">
        <v>1</v>
      </c>
      <c r="P51" s="7" t="b">
        <v>1</v>
      </c>
      <c r="Q51">
        <f t="shared" si="3"/>
        <v>5</v>
      </c>
      <c r="R51">
        <f t="shared" si="4"/>
        <v>0</v>
      </c>
      <c r="S51" s="11">
        <f t="shared" si="5"/>
        <v>100</v>
      </c>
      <c r="T51" t="str">
        <f t="shared" si="6"/>
        <v>Safe</v>
      </c>
    </row>
    <row r="52" spans="1:20" x14ac:dyDescent="0.25">
      <c r="A52" t="s">
        <v>101</v>
      </c>
      <c r="B52" t="s">
        <v>359</v>
      </c>
      <c r="C52" t="s">
        <v>25</v>
      </c>
      <c r="D52">
        <v>62</v>
      </c>
      <c r="E52">
        <v>63</v>
      </c>
      <c r="F52">
        <v>75</v>
      </c>
      <c r="G52">
        <f t="shared" si="1"/>
        <v>200</v>
      </c>
      <c r="H52" s="2">
        <f t="shared" si="0"/>
        <v>66.666666666666671</v>
      </c>
      <c r="I52">
        <f t="shared" si="2"/>
        <v>2.5</v>
      </c>
      <c r="J52">
        <v>62</v>
      </c>
      <c r="K52">
        <v>211.1</v>
      </c>
      <c r="L52" s="7" t="b">
        <v>1</v>
      </c>
      <c r="M52" s="8" t="b">
        <v>1</v>
      </c>
      <c r="N52" s="7" t="b">
        <v>1</v>
      </c>
      <c r="O52" s="8" t="b">
        <v>1</v>
      </c>
      <c r="P52" s="7" t="b">
        <v>1</v>
      </c>
      <c r="Q52">
        <f t="shared" si="3"/>
        <v>5</v>
      </c>
      <c r="R52">
        <f t="shared" si="4"/>
        <v>0</v>
      </c>
      <c r="S52" s="11">
        <f t="shared" si="5"/>
        <v>100</v>
      </c>
      <c r="T52" t="str">
        <f t="shared" si="6"/>
        <v>Safe</v>
      </c>
    </row>
    <row r="53" spans="1:20" x14ac:dyDescent="0.25">
      <c r="A53" t="s">
        <v>103</v>
      </c>
      <c r="B53" t="s">
        <v>360</v>
      </c>
      <c r="C53" t="s">
        <v>12</v>
      </c>
      <c r="D53">
        <v>78</v>
      </c>
      <c r="E53">
        <v>44</v>
      </c>
      <c r="F53">
        <v>72</v>
      </c>
      <c r="G53">
        <f t="shared" si="1"/>
        <v>194</v>
      </c>
      <c r="H53" s="2">
        <f t="shared" si="0"/>
        <v>64.666666666666671</v>
      </c>
      <c r="I53">
        <f t="shared" si="2"/>
        <v>2.5</v>
      </c>
      <c r="J53">
        <v>56</v>
      </c>
      <c r="K53">
        <v>211.1</v>
      </c>
      <c r="L53" s="7" t="b">
        <v>1</v>
      </c>
      <c r="M53" s="8" t="b">
        <v>1</v>
      </c>
      <c r="N53" s="7" t="b">
        <v>1</v>
      </c>
      <c r="O53" s="8" t="b">
        <v>1</v>
      </c>
      <c r="P53" s="7" t="b">
        <v>1</v>
      </c>
      <c r="Q53">
        <f t="shared" si="3"/>
        <v>5</v>
      </c>
      <c r="R53">
        <f t="shared" si="4"/>
        <v>0</v>
      </c>
      <c r="S53" s="11">
        <f t="shared" si="5"/>
        <v>100</v>
      </c>
      <c r="T53" t="str">
        <f t="shared" si="6"/>
        <v>Safe</v>
      </c>
    </row>
    <row r="54" spans="1:20" x14ac:dyDescent="0.25">
      <c r="A54" t="s">
        <v>105</v>
      </c>
      <c r="B54" t="s">
        <v>361</v>
      </c>
      <c r="C54" t="s">
        <v>12</v>
      </c>
      <c r="D54">
        <v>84</v>
      </c>
      <c r="E54">
        <v>91</v>
      </c>
      <c r="F54">
        <v>43</v>
      </c>
      <c r="G54">
        <f t="shared" si="1"/>
        <v>218</v>
      </c>
      <c r="H54" s="2">
        <f t="shared" si="0"/>
        <v>72.666666666666671</v>
      </c>
      <c r="I54">
        <f t="shared" si="2"/>
        <v>3</v>
      </c>
      <c r="J54">
        <v>85</v>
      </c>
      <c r="K54">
        <v>211.1</v>
      </c>
      <c r="L54" s="7" t="b">
        <v>1</v>
      </c>
      <c r="M54" s="8" t="b">
        <v>1</v>
      </c>
      <c r="N54" s="7" t="b">
        <v>1</v>
      </c>
      <c r="O54" s="8" t="b">
        <v>0</v>
      </c>
      <c r="P54" s="7" t="b">
        <v>0</v>
      </c>
      <c r="Q54">
        <f t="shared" si="3"/>
        <v>3</v>
      </c>
      <c r="R54">
        <f t="shared" si="4"/>
        <v>2</v>
      </c>
      <c r="S54" s="11">
        <f t="shared" si="5"/>
        <v>60</v>
      </c>
      <c r="T54" t="str">
        <f t="shared" si="6"/>
        <v>Warning</v>
      </c>
    </row>
    <row r="55" spans="1:20" x14ac:dyDescent="0.25">
      <c r="A55" t="s">
        <v>107</v>
      </c>
      <c r="B55" t="s">
        <v>362</v>
      </c>
      <c r="C55" t="s">
        <v>12</v>
      </c>
      <c r="D55">
        <v>54</v>
      </c>
      <c r="E55">
        <v>73</v>
      </c>
      <c r="F55">
        <v>72</v>
      </c>
      <c r="G55">
        <f t="shared" si="1"/>
        <v>199</v>
      </c>
      <c r="H55" s="2">
        <f t="shared" si="0"/>
        <v>66.333333333333329</v>
      </c>
      <c r="I55">
        <f t="shared" si="2"/>
        <v>2.5</v>
      </c>
      <c r="J55">
        <v>94</v>
      </c>
      <c r="K55">
        <v>211.1</v>
      </c>
      <c r="L55" s="7" t="b">
        <v>1</v>
      </c>
      <c r="M55" s="8" t="b">
        <v>0</v>
      </c>
      <c r="N55" s="7" t="b">
        <v>1</v>
      </c>
      <c r="O55" s="8" t="b">
        <v>1</v>
      </c>
      <c r="P55" s="7" t="b">
        <v>1</v>
      </c>
      <c r="Q55">
        <f t="shared" si="3"/>
        <v>4</v>
      </c>
      <c r="R55">
        <f t="shared" si="4"/>
        <v>1</v>
      </c>
      <c r="S55" s="11">
        <f t="shared" si="5"/>
        <v>80</v>
      </c>
      <c r="T55" t="str">
        <f t="shared" si="6"/>
        <v>Safe</v>
      </c>
    </row>
    <row r="56" spans="1:20" x14ac:dyDescent="0.25">
      <c r="A56" t="s">
        <v>109</v>
      </c>
      <c r="B56" t="s">
        <v>363</v>
      </c>
      <c r="C56" t="s">
        <v>12</v>
      </c>
      <c r="D56">
        <v>43</v>
      </c>
      <c r="E56">
        <v>45</v>
      </c>
      <c r="F56">
        <v>53</v>
      </c>
      <c r="G56">
        <f t="shared" si="1"/>
        <v>141</v>
      </c>
      <c r="H56" s="2">
        <f t="shared" si="0"/>
        <v>47</v>
      </c>
      <c r="I56">
        <f t="shared" si="2"/>
        <v>0</v>
      </c>
      <c r="J56">
        <v>69</v>
      </c>
      <c r="K56">
        <v>211.1</v>
      </c>
      <c r="L56" s="7" t="b">
        <v>1</v>
      </c>
      <c r="M56" s="8" t="b">
        <v>1</v>
      </c>
      <c r="N56" s="7" t="b">
        <v>1</v>
      </c>
      <c r="O56" s="8" t="b">
        <v>0</v>
      </c>
      <c r="P56" s="7" t="b">
        <v>1</v>
      </c>
      <c r="Q56">
        <f t="shared" si="3"/>
        <v>4</v>
      </c>
      <c r="R56">
        <f t="shared" si="4"/>
        <v>1</v>
      </c>
      <c r="S56" s="11">
        <f t="shared" si="5"/>
        <v>80</v>
      </c>
      <c r="T56" t="str">
        <f t="shared" si="6"/>
        <v>Warning</v>
      </c>
    </row>
    <row r="57" spans="1:20" x14ac:dyDescent="0.25">
      <c r="A57" t="s">
        <v>111</v>
      </c>
      <c r="B57" t="s">
        <v>364</v>
      </c>
      <c r="C57" t="s">
        <v>15</v>
      </c>
      <c r="D57">
        <v>68</v>
      </c>
      <c r="E57">
        <v>61</v>
      </c>
      <c r="F57">
        <v>60</v>
      </c>
      <c r="G57">
        <f t="shared" si="1"/>
        <v>189</v>
      </c>
      <c r="H57" s="2">
        <f t="shared" si="0"/>
        <v>63</v>
      </c>
      <c r="I57">
        <f t="shared" si="2"/>
        <v>2.5</v>
      </c>
      <c r="J57">
        <v>50</v>
      </c>
      <c r="K57">
        <v>211.1</v>
      </c>
      <c r="L57" s="7" t="b">
        <v>1</v>
      </c>
      <c r="M57" s="8" t="b">
        <v>1</v>
      </c>
      <c r="N57" s="7" t="b">
        <v>1</v>
      </c>
      <c r="O57" s="8" t="b">
        <v>1</v>
      </c>
      <c r="P57" s="7" t="b">
        <v>1</v>
      </c>
      <c r="Q57">
        <f t="shared" si="3"/>
        <v>5</v>
      </c>
      <c r="R57">
        <f t="shared" si="4"/>
        <v>0</v>
      </c>
      <c r="S57" s="11">
        <f t="shared" si="5"/>
        <v>100</v>
      </c>
      <c r="T57" t="str">
        <f t="shared" si="6"/>
        <v>Safe</v>
      </c>
    </row>
    <row r="58" spans="1:20" x14ac:dyDescent="0.25">
      <c r="A58" t="s">
        <v>101</v>
      </c>
      <c r="B58" t="s">
        <v>365</v>
      </c>
      <c r="C58" t="s">
        <v>18</v>
      </c>
      <c r="D58">
        <v>75</v>
      </c>
      <c r="E58">
        <v>50</v>
      </c>
      <c r="F58">
        <v>87</v>
      </c>
      <c r="G58">
        <f t="shared" si="1"/>
        <v>212</v>
      </c>
      <c r="H58" s="2">
        <f t="shared" si="0"/>
        <v>70.666666666666671</v>
      </c>
      <c r="I58">
        <f t="shared" si="2"/>
        <v>3</v>
      </c>
      <c r="J58">
        <v>57</v>
      </c>
      <c r="K58">
        <v>211.1</v>
      </c>
      <c r="L58" s="7" t="b">
        <v>0</v>
      </c>
      <c r="M58" s="8" t="b">
        <v>0</v>
      </c>
      <c r="N58" s="7" t="b">
        <v>0</v>
      </c>
      <c r="O58" s="8" t="b">
        <v>1</v>
      </c>
      <c r="P58" s="7" t="b">
        <v>1</v>
      </c>
      <c r="Q58">
        <f t="shared" si="3"/>
        <v>2</v>
      </c>
      <c r="R58">
        <f t="shared" si="4"/>
        <v>3</v>
      </c>
      <c r="S58" s="11">
        <f t="shared" si="5"/>
        <v>40</v>
      </c>
      <c r="T58" t="str">
        <f t="shared" si="6"/>
        <v>Warning</v>
      </c>
    </row>
    <row r="59" spans="1:20" x14ac:dyDescent="0.25">
      <c r="A59" t="s">
        <v>114</v>
      </c>
      <c r="B59" t="s">
        <v>366</v>
      </c>
      <c r="C59" t="s">
        <v>52</v>
      </c>
      <c r="D59">
        <v>52</v>
      </c>
      <c r="E59">
        <v>87</v>
      </c>
      <c r="F59">
        <v>59</v>
      </c>
      <c r="G59">
        <f t="shared" si="1"/>
        <v>198</v>
      </c>
      <c r="H59" s="2">
        <f t="shared" si="0"/>
        <v>66</v>
      </c>
      <c r="I59">
        <f t="shared" si="2"/>
        <v>2.5</v>
      </c>
      <c r="J59">
        <v>95</v>
      </c>
      <c r="K59">
        <v>211.1</v>
      </c>
      <c r="L59" s="7" t="b">
        <v>1</v>
      </c>
      <c r="M59" s="8" t="b">
        <v>0</v>
      </c>
      <c r="N59" s="7" t="b">
        <v>1</v>
      </c>
      <c r="O59" s="8" t="b">
        <v>1</v>
      </c>
      <c r="P59" s="7" t="b">
        <v>0</v>
      </c>
      <c r="Q59">
        <f t="shared" si="3"/>
        <v>3</v>
      </c>
      <c r="R59">
        <f t="shared" si="4"/>
        <v>2</v>
      </c>
      <c r="S59" s="11">
        <f t="shared" si="5"/>
        <v>60</v>
      </c>
      <c r="T59" t="str">
        <f t="shared" si="6"/>
        <v>Warning</v>
      </c>
    </row>
    <row r="60" spans="1:20" x14ac:dyDescent="0.25">
      <c r="A60" t="s">
        <v>10</v>
      </c>
      <c r="B60" t="s">
        <v>367</v>
      </c>
      <c r="C60" t="s">
        <v>12</v>
      </c>
      <c r="D60">
        <v>71</v>
      </c>
      <c r="E60">
        <v>55</v>
      </c>
      <c r="F60">
        <v>95</v>
      </c>
      <c r="G60">
        <f t="shared" si="1"/>
        <v>221</v>
      </c>
      <c r="H60" s="2">
        <f t="shared" si="0"/>
        <v>73.666666666666671</v>
      </c>
      <c r="I60">
        <f t="shared" si="2"/>
        <v>3</v>
      </c>
      <c r="J60">
        <v>65</v>
      </c>
      <c r="K60">
        <v>211.1</v>
      </c>
      <c r="L60" s="7" t="b">
        <v>1</v>
      </c>
      <c r="M60" s="8" t="b">
        <v>1</v>
      </c>
      <c r="N60" s="7" t="b">
        <v>1</v>
      </c>
      <c r="O60" s="8" t="b">
        <v>0</v>
      </c>
      <c r="P60" s="7" t="b">
        <v>1</v>
      </c>
      <c r="Q60">
        <f t="shared" si="3"/>
        <v>4</v>
      </c>
      <c r="R60">
        <f t="shared" si="4"/>
        <v>1</v>
      </c>
      <c r="S60" s="11">
        <f t="shared" si="5"/>
        <v>80</v>
      </c>
      <c r="T60" t="str">
        <f t="shared" si="6"/>
        <v>Safe</v>
      </c>
    </row>
    <row r="61" spans="1:20" x14ac:dyDescent="0.25">
      <c r="A61" t="s">
        <v>117</v>
      </c>
      <c r="B61" t="s">
        <v>368</v>
      </c>
      <c r="C61" t="s">
        <v>25</v>
      </c>
      <c r="D61">
        <v>46</v>
      </c>
      <c r="E61">
        <v>45</v>
      </c>
      <c r="F61">
        <v>47</v>
      </c>
      <c r="G61">
        <f t="shared" si="1"/>
        <v>138</v>
      </c>
      <c r="H61" s="2">
        <f t="shared" si="0"/>
        <v>46</v>
      </c>
      <c r="I61">
        <f t="shared" si="2"/>
        <v>0</v>
      </c>
      <c r="J61">
        <v>63</v>
      </c>
      <c r="K61">
        <v>211.1</v>
      </c>
      <c r="L61" s="7" t="b">
        <v>1</v>
      </c>
      <c r="M61" s="8" t="b">
        <v>1</v>
      </c>
      <c r="N61" s="7" t="b">
        <v>1</v>
      </c>
      <c r="O61" s="8" t="b">
        <v>0</v>
      </c>
      <c r="P61" s="7" t="b">
        <v>0</v>
      </c>
      <c r="Q61">
        <f t="shared" si="3"/>
        <v>3</v>
      </c>
      <c r="R61">
        <f t="shared" si="4"/>
        <v>2</v>
      </c>
      <c r="S61" s="11">
        <f t="shared" si="5"/>
        <v>60</v>
      </c>
      <c r="T61" t="str">
        <f t="shared" si="6"/>
        <v>Critical</v>
      </c>
    </row>
    <row r="62" spans="1:20" x14ac:dyDescent="0.25">
      <c r="A62" t="s">
        <v>34</v>
      </c>
      <c r="B62" t="s">
        <v>369</v>
      </c>
      <c r="C62" t="s">
        <v>12</v>
      </c>
      <c r="D62">
        <v>98</v>
      </c>
      <c r="E62">
        <v>48</v>
      </c>
      <c r="F62">
        <v>46</v>
      </c>
      <c r="G62">
        <f t="shared" si="1"/>
        <v>192</v>
      </c>
      <c r="H62" s="2">
        <f t="shared" si="0"/>
        <v>64</v>
      </c>
      <c r="I62">
        <f t="shared" si="2"/>
        <v>2.5</v>
      </c>
      <c r="J62">
        <v>61</v>
      </c>
      <c r="K62">
        <v>211.1</v>
      </c>
      <c r="L62" s="7" t="b">
        <v>1</v>
      </c>
      <c r="M62" s="8" t="b">
        <v>1</v>
      </c>
      <c r="N62" s="7" t="b">
        <v>0</v>
      </c>
      <c r="O62" s="8" t="b">
        <v>0</v>
      </c>
      <c r="P62" s="7" t="b">
        <v>1</v>
      </c>
      <c r="Q62">
        <f t="shared" si="3"/>
        <v>3</v>
      </c>
      <c r="R62">
        <f t="shared" si="4"/>
        <v>2</v>
      </c>
      <c r="S62" s="11">
        <f t="shared" si="5"/>
        <v>60</v>
      </c>
      <c r="T62" t="str">
        <f t="shared" si="6"/>
        <v>Warning</v>
      </c>
    </row>
    <row r="63" spans="1:20" x14ac:dyDescent="0.25">
      <c r="A63" t="s">
        <v>87</v>
      </c>
      <c r="B63" t="s">
        <v>370</v>
      </c>
      <c r="C63" t="s">
        <v>25</v>
      </c>
      <c r="D63">
        <v>90</v>
      </c>
      <c r="E63">
        <v>99</v>
      </c>
      <c r="F63">
        <v>42</v>
      </c>
      <c r="G63">
        <f t="shared" si="1"/>
        <v>231</v>
      </c>
      <c r="H63" s="2">
        <f t="shared" si="0"/>
        <v>77</v>
      </c>
      <c r="I63">
        <f t="shared" si="2"/>
        <v>3</v>
      </c>
      <c r="J63">
        <v>100</v>
      </c>
      <c r="K63">
        <v>211.1</v>
      </c>
      <c r="L63" s="7" t="b">
        <v>1</v>
      </c>
      <c r="M63" s="8" t="b">
        <v>1</v>
      </c>
      <c r="N63" s="7" t="b">
        <v>1</v>
      </c>
      <c r="O63" s="8" t="b">
        <v>1</v>
      </c>
      <c r="P63" s="7" t="b">
        <v>0</v>
      </c>
      <c r="Q63">
        <f t="shared" si="3"/>
        <v>4</v>
      </c>
      <c r="R63">
        <f t="shared" si="4"/>
        <v>1</v>
      </c>
      <c r="S63" s="11">
        <f t="shared" si="5"/>
        <v>80</v>
      </c>
      <c r="T63" t="str">
        <f t="shared" si="6"/>
        <v>Safe</v>
      </c>
    </row>
    <row r="64" spans="1:20" x14ac:dyDescent="0.25">
      <c r="A64" t="s">
        <v>121</v>
      </c>
      <c r="B64" t="s">
        <v>371</v>
      </c>
      <c r="C64" t="s">
        <v>25</v>
      </c>
      <c r="D64">
        <v>61</v>
      </c>
      <c r="E64">
        <v>98</v>
      </c>
      <c r="F64">
        <v>56</v>
      </c>
      <c r="G64">
        <f t="shared" si="1"/>
        <v>215</v>
      </c>
      <c r="H64" s="2">
        <f t="shared" si="0"/>
        <v>71.666666666666671</v>
      </c>
      <c r="I64">
        <f t="shared" si="2"/>
        <v>3</v>
      </c>
      <c r="J64">
        <v>72</v>
      </c>
      <c r="K64">
        <v>211.1</v>
      </c>
      <c r="L64" s="7" t="b">
        <v>1</v>
      </c>
      <c r="M64" s="8" t="b">
        <v>0</v>
      </c>
      <c r="N64" s="7" t="b">
        <v>1</v>
      </c>
      <c r="O64" s="8" t="b">
        <v>1</v>
      </c>
      <c r="P64" s="7" t="b">
        <v>1</v>
      </c>
      <c r="Q64">
        <f t="shared" si="3"/>
        <v>4</v>
      </c>
      <c r="R64">
        <f t="shared" si="4"/>
        <v>1</v>
      </c>
      <c r="S64" s="11">
        <f t="shared" si="5"/>
        <v>80</v>
      </c>
      <c r="T64" t="str">
        <f t="shared" si="6"/>
        <v>Safe</v>
      </c>
    </row>
    <row r="65" spans="1:20" x14ac:dyDescent="0.25">
      <c r="A65" t="s">
        <v>123</v>
      </c>
      <c r="B65" t="s">
        <v>372</v>
      </c>
      <c r="C65" t="s">
        <v>12</v>
      </c>
      <c r="D65">
        <v>54</v>
      </c>
      <c r="E65">
        <v>45</v>
      </c>
      <c r="F65">
        <v>45</v>
      </c>
      <c r="G65">
        <f t="shared" si="1"/>
        <v>144</v>
      </c>
      <c r="H65" s="2">
        <f t="shared" si="0"/>
        <v>48</v>
      </c>
      <c r="I65">
        <f t="shared" si="2"/>
        <v>0</v>
      </c>
      <c r="J65">
        <v>64</v>
      </c>
      <c r="K65">
        <v>211.1</v>
      </c>
      <c r="L65" s="7" t="b">
        <v>1</v>
      </c>
      <c r="M65" s="8" t="b">
        <v>1</v>
      </c>
      <c r="N65" s="7" t="b">
        <v>1</v>
      </c>
      <c r="O65" s="8" t="b">
        <v>0</v>
      </c>
      <c r="P65" s="7" t="b">
        <v>1</v>
      </c>
      <c r="Q65">
        <f t="shared" si="3"/>
        <v>4</v>
      </c>
      <c r="R65">
        <f t="shared" si="4"/>
        <v>1</v>
      </c>
      <c r="S65" s="11">
        <f t="shared" si="5"/>
        <v>80</v>
      </c>
      <c r="T65" t="str">
        <f t="shared" si="6"/>
        <v>Warning</v>
      </c>
    </row>
    <row r="66" spans="1:20" x14ac:dyDescent="0.25">
      <c r="A66" t="s">
        <v>71</v>
      </c>
      <c r="B66" t="s">
        <v>373</v>
      </c>
      <c r="C66" t="s">
        <v>15</v>
      </c>
      <c r="D66">
        <v>41</v>
      </c>
      <c r="E66">
        <v>55</v>
      </c>
      <c r="F66">
        <v>87</v>
      </c>
      <c r="G66">
        <f t="shared" si="1"/>
        <v>183</v>
      </c>
      <c r="H66" s="2">
        <f t="shared" si="0"/>
        <v>61</v>
      </c>
      <c r="I66">
        <f t="shared" si="2"/>
        <v>2.5</v>
      </c>
      <c r="J66">
        <v>77</v>
      </c>
      <c r="K66">
        <v>211.1</v>
      </c>
      <c r="L66" s="7" t="b">
        <v>0</v>
      </c>
      <c r="M66" s="8" t="b">
        <v>1</v>
      </c>
      <c r="N66" s="7" t="b">
        <v>1</v>
      </c>
      <c r="O66" s="8" t="b">
        <v>1</v>
      </c>
      <c r="P66" s="7" t="b">
        <v>1</v>
      </c>
      <c r="Q66">
        <f t="shared" si="3"/>
        <v>4</v>
      </c>
      <c r="R66">
        <f t="shared" si="4"/>
        <v>1</v>
      </c>
      <c r="S66" s="11">
        <f t="shared" si="5"/>
        <v>80</v>
      </c>
      <c r="T66" t="str">
        <f t="shared" si="6"/>
        <v>Safe</v>
      </c>
    </row>
    <row r="67" spans="1:20" x14ac:dyDescent="0.25">
      <c r="A67" t="s">
        <v>101</v>
      </c>
      <c r="B67" t="s">
        <v>374</v>
      </c>
      <c r="C67" t="s">
        <v>25</v>
      </c>
      <c r="D67">
        <v>81</v>
      </c>
      <c r="E67">
        <v>68</v>
      </c>
      <c r="F67">
        <v>51</v>
      </c>
      <c r="G67">
        <f t="shared" si="1"/>
        <v>200</v>
      </c>
      <c r="H67" s="2">
        <f t="shared" si="0"/>
        <v>66.666666666666671</v>
      </c>
      <c r="I67">
        <f t="shared" si="2"/>
        <v>2.5</v>
      </c>
      <c r="J67">
        <v>83</v>
      </c>
      <c r="K67">
        <v>211.1</v>
      </c>
      <c r="L67" s="7" t="b">
        <v>1</v>
      </c>
      <c r="M67" s="8" t="b">
        <v>0</v>
      </c>
      <c r="N67" s="7" t="b">
        <v>1</v>
      </c>
      <c r="O67" s="8" t="b">
        <v>1</v>
      </c>
      <c r="P67" s="7" t="b">
        <v>0</v>
      </c>
      <c r="Q67">
        <f t="shared" si="3"/>
        <v>3</v>
      </c>
      <c r="R67">
        <f t="shared" si="4"/>
        <v>2</v>
      </c>
      <c r="S67" s="11">
        <f t="shared" si="5"/>
        <v>60</v>
      </c>
      <c r="T67" t="str">
        <f t="shared" si="6"/>
        <v>Warning</v>
      </c>
    </row>
    <row r="68" spans="1:20" x14ac:dyDescent="0.25">
      <c r="A68" t="s">
        <v>127</v>
      </c>
      <c r="B68" t="s">
        <v>375</v>
      </c>
      <c r="C68" t="s">
        <v>25</v>
      </c>
      <c r="D68">
        <v>84</v>
      </c>
      <c r="E68">
        <v>42</v>
      </c>
      <c r="F68">
        <v>98</v>
      </c>
      <c r="G68">
        <f t="shared" si="1"/>
        <v>224</v>
      </c>
      <c r="H68" s="2">
        <f t="shared" ref="H68:H131" si="7">AVERAGE(D68:F68)</f>
        <v>74.666666666666671</v>
      </c>
      <c r="I68">
        <f t="shared" si="2"/>
        <v>3</v>
      </c>
      <c r="J68">
        <v>51</v>
      </c>
      <c r="K68">
        <v>211.1</v>
      </c>
      <c r="L68" s="7" t="b">
        <v>1</v>
      </c>
      <c r="M68" s="8" t="b">
        <v>0</v>
      </c>
      <c r="N68" s="7" t="b">
        <v>1</v>
      </c>
      <c r="O68" s="8" t="b">
        <v>1</v>
      </c>
      <c r="P68" s="7" t="b">
        <v>1</v>
      </c>
      <c r="Q68">
        <f t="shared" si="3"/>
        <v>4</v>
      </c>
      <c r="R68">
        <f t="shared" si="4"/>
        <v>1</v>
      </c>
      <c r="S68" s="11">
        <f t="shared" si="5"/>
        <v>80</v>
      </c>
      <c r="T68" t="str">
        <f t="shared" si="6"/>
        <v>Safe</v>
      </c>
    </row>
    <row r="69" spans="1:20" x14ac:dyDescent="0.25">
      <c r="A69" t="s">
        <v>129</v>
      </c>
      <c r="B69" t="s">
        <v>376</v>
      </c>
      <c r="C69" t="s">
        <v>12</v>
      </c>
      <c r="D69">
        <v>96</v>
      </c>
      <c r="E69">
        <v>59</v>
      </c>
      <c r="F69">
        <v>90</v>
      </c>
      <c r="G69">
        <f t="shared" ref="G69:G103" si="8">SUM(D69:F69)</f>
        <v>245</v>
      </c>
      <c r="H69" s="2">
        <f t="shared" si="7"/>
        <v>81.666666666666671</v>
      </c>
      <c r="I69">
        <f t="shared" ref="I69:I103" si="9">IF(H69&gt;=90,4,IF(H69&gt;=80,3.7,IF(H69&gt;=70,3,IF(H69&gt;=60,2.5,IF(H69&gt;=50,2,0)))))</f>
        <v>3.7</v>
      </c>
      <c r="J69">
        <v>81</v>
      </c>
      <c r="K69">
        <v>211.1</v>
      </c>
      <c r="L69" s="7" t="b">
        <v>1</v>
      </c>
      <c r="M69" s="8" t="b">
        <v>1</v>
      </c>
      <c r="N69" s="7" t="b">
        <v>1</v>
      </c>
      <c r="O69" s="8" t="b">
        <v>0</v>
      </c>
      <c r="P69" s="7" t="b">
        <v>1</v>
      </c>
      <c r="Q69">
        <f t="shared" ref="Q69:Q103" si="10">COUNTIF(L69:P69,TRUE)</f>
        <v>4</v>
      </c>
      <c r="R69">
        <f t="shared" ref="R69:R103" si="11">COUNTIF(L69:P69,FALSE)</f>
        <v>1</v>
      </c>
      <c r="S69" s="11">
        <f t="shared" ref="S69:S103" si="12">(Q69/5)*100</f>
        <v>80</v>
      </c>
      <c r="T69" t="str">
        <f t="shared" ref="T69:T103" si="13">IF(AND(S69&lt;75, H69&lt;50), "Critical", IF(OR(S69&lt;80, H69&lt;60), "Warning", "Safe"))</f>
        <v>Safe</v>
      </c>
    </row>
    <row r="70" spans="1:20" x14ac:dyDescent="0.25">
      <c r="A70" t="s">
        <v>101</v>
      </c>
      <c r="B70" t="s">
        <v>377</v>
      </c>
      <c r="C70" t="s">
        <v>25</v>
      </c>
      <c r="D70">
        <v>92</v>
      </c>
      <c r="E70">
        <v>99</v>
      </c>
      <c r="F70">
        <v>61</v>
      </c>
      <c r="G70">
        <f t="shared" si="8"/>
        <v>252</v>
      </c>
      <c r="H70" s="2">
        <f t="shared" si="7"/>
        <v>84</v>
      </c>
      <c r="I70">
        <f t="shared" si="9"/>
        <v>3.7</v>
      </c>
      <c r="J70">
        <v>72</v>
      </c>
      <c r="K70">
        <v>211.1</v>
      </c>
      <c r="L70" s="7" t="b">
        <v>1</v>
      </c>
      <c r="M70" s="8" t="b">
        <v>1</v>
      </c>
      <c r="N70" s="7" t="b">
        <v>1</v>
      </c>
      <c r="O70" s="8" t="b">
        <v>1</v>
      </c>
      <c r="P70" s="7" t="b">
        <v>1</v>
      </c>
      <c r="Q70">
        <f t="shared" si="10"/>
        <v>5</v>
      </c>
      <c r="R70">
        <f t="shared" si="11"/>
        <v>0</v>
      </c>
      <c r="S70" s="11">
        <f t="shared" si="12"/>
        <v>100</v>
      </c>
      <c r="T70" t="str">
        <f t="shared" si="13"/>
        <v>Safe</v>
      </c>
    </row>
    <row r="71" spans="1:20" x14ac:dyDescent="0.25">
      <c r="A71" t="s">
        <v>105</v>
      </c>
      <c r="B71" t="s">
        <v>378</v>
      </c>
      <c r="C71" t="s">
        <v>25</v>
      </c>
      <c r="D71">
        <v>45</v>
      </c>
      <c r="E71">
        <v>98</v>
      </c>
      <c r="F71">
        <v>94</v>
      </c>
      <c r="G71">
        <f t="shared" si="8"/>
        <v>237</v>
      </c>
      <c r="H71" s="2">
        <f t="shared" si="7"/>
        <v>79</v>
      </c>
      <c r="I71">
        <f t="shared" si="9"/>
        <v>3</v>
      </c>
      <c r="J71">
        <v>71</v>
      </c>
      <c r="K71">
        <v>211.1</v>
      </c>
      <c r="L71" s="7" t="b">
        <v>1</v>
      </c>
      <c r="M71" s="8" t="b">
        <v>1</v>
      </c>
      <c r="N71" s="7" t="b">
        <v>0</v>
      </c>
      <c r="O71" s="8" t="b">
        <v>0</v>
      </c>
      <c r="P71" s="7" t="b">
        <v>1</v>
      </c>
      <c r="Q71">
        <f t="shared" si="10"/>
        <v>3</v>
      </c>
      <c r="R71">
        <f t="shared" si="11"/>
        <v>2</v>
      </c>
      <c r="S71" s="11">
        <f t="shared" si="12"/>
        <v>60</v>
      </c>
      <c r="T71" t="str">
        <f t="shared" si="13"/>
        <v>Warning</v>
      </c>
    </row>
    <row r="72" spans="1:20" x14ac:dyDescent="0.25">
      <c r="A72" t="s">
        <v>133</v>
      </c>
      <c r="B72" t="s">
        <v>379</v>
      </c>
      <c r="C72" t="s">
        <v>12</v>
      </c>
      <c r="D72">
        <v>45</v>
      </c>
      <c r="E72">
        <v>56</v>
      </c>
      <c r="F72">
        <v>45</v>
      </c>
      <c r="G72">
        <f t="shared" si="8"/>
        <v>146</v>
      </c>
      <c r="H72" s="2">
        <f t="shared" si="7"/>
        <v>48.666666666666664</v>
      </c>
      <c r="I72">
        <f t="shared" si="9"/>
        <v>0</v>
      </c>
      <c r="J72">
        <v>100</v>
      </c>
      <c r="K72">
        <v>211.1</v>
      </c>
      <c r="L72" s="7" t="b">
        <v>1</v>
      </c>
      <c r="M72" s="8" t="b">
        <v>1</v>
      </c>
      <c r="N72" s="7" t="b">
        <v>1</v>
      </c>
      <c r="O72" s="8" t="b">
        <v>1</v>
      </c>
      <c r="P72" s="7" t="b">
        <v>0</v>
      </c>
      <c r="Q72">
        <f t="shared" si="10"/>
        <v>4</v>
      </c>
      <c r="R72">
        <f t="shared" si="11"/>
        <v>1</v>
      </c>
      <c r="S72" s="11">
        <f t="shared" si="12"/>
        <v>80</v>
      </c>
      <c r="T72" t="str">
        <f t="shared" si="13"/>
        <v>Warning</v>
      </c>
    </row>
    <row r="73" spans="1:20" x14ac:dyDescent="0.25">
      <c r="A73" t="s">
        <v>19</v>
      </c>
      <c r="B73" t="s">
        <v>380</v>
      </c>
      <c r="C73" t="s">
        <v>12</v>
      </c>
      <c r="D73">
        <v>67</v>
      </c>
      <c r="E73">
        <v>58</v>
      </c>
      <c r="F73">
        <v>85</v>
      </c>
      <c r="G73">
        <f t="shared" si="8"/>
        <v>210</v>
      </c>
      <c r="H73" s="2">
        <f t="shared" si="7"/>
        <v>70</v>
      </c>
      <c r="I73">
        <f t="shared" si="9"/>
        <v>3</v>
      </c>
      <c r="J73">
        <v>74</v>
      </c>
      <c r="K73">
        <v>211.1</v>
      </c>
      <c r="L73" s="7" t="b">
        <v>1</v>
      </c>
      <c r="M73" s="8" t="b">
        <v>0</v>
      </c>
      <c r="N73" s="7" t="b">
        <v>1</v>
      </c>
      <c r="O73" s="8" t="b">
        <v>1</v>
      </c>
      <c r="P73" s="7" t="b">
        <v>1</v>
      </c>
      <c r="Q73">
        <f t="shared" si="10"/>
        <v>4</v>
      </c>
      <c r="R73">
        <f t="shared" si="11"/>
        <v>1</v>
      </c>
      <c r="S73" s="11">
        <f t="shared" si="12"/>
        <v>80</v>
      </c>
      <c r="T73" t="str">
        <f t="shared" si="13"/>
        <v>Safe</v>
      </c>
    </row>
    <row r="74" spans="1:20" x14ac:dyDescent="0.25">
      <c r="A74" t="s">
        <v>136</v>
      </c>
      <c r="B74" t="s">
        <v>381</v>
      </c>
      <c r="C74" t="s">
        <v>52</v>
      </c>
      <c r="D74">
        <v>83</v>
      </c>
      <c r="E74">
        <v>65</v>
      </c>
      <c r="F74">
        <v>69</v>
      </c>
      <c r="G74">
        <f t="shared" si="8"/>
        <v>217</v>
      </c>
      <c r="H74" s="2">
        <f t="shared" si="7"/>
        <v>72.333333333333329</v>
      </c>
      <c r="I74">
        <f t="shared" si="9"/>
        <v>3</v>
      </c>
      <c r="J74">
        <v>71</v>
      </c>
      <c r="K74">
        <v>211.1</v>
      </c>
      <c r="L74" s="7" t="b">
        <v>0</v>
      </c>
      <c r="M74" s="8" t="b">
        <v>1</v>
      </c>
      <c r="N74" s="7" t="b">
        <v>1</v>
      </c>
      <c r="O74" s="8" t="b">
        <v>1</v>
      </c>
      <c r="P74" s="7" t="b">
        <v>1</v>
      </c>
      <c r="Q74">
        <f t="shared" si="10"/>
        <v>4</v>
      </c>
      <c r="R74">
        <f t="shared" si="11"/>
        <v>1</v>
      </c>
      <c r="S74" s="11">
        <f t="shared" si="12"/>
        <v>80</v>
      </c>
      <c r="T74" t="str">
        <f t="shared" si="13"/>
        <v>Safe</v>
      </c>
    </row>
    <row r="75" spans="1:20" x14ac:dyDescent="0.25">
      <c r="A75" t="s">
        <v>138</v>
      </c>
      <c r="B75" t="s">
        <v>382</v>
      </c>
      <c r="C75" t="s">
        <v>15</v>
      </c>
      <c r="D75">
        <v>83</v>
      </c>
      <c r="E75">
        <v>42</v>
      </c>
      <c r="F75">
        <v>77</v>
      </c>
      <c r="G75">
        <f t="shared" si="8"/>
        <v>202</v>
      </c>
      <c r="H75" s="2">
        <f t="shared" si="7"/>
        <v>67.333333333333329</v>
      </c>
      <c r="I75">
        <f t="shared" si="9"/>
        <v>2.5</v>
      </c>
      <c r="J75">
        <v>71</v>
      </c>
      <c r="K75">
        <v>211.1</v>
      </c>
      <c r="L75" s="7" t="b">
        <v>0</v>
      </c>
      <c r="M75" s="8" t="b">
        <v>1</v>
      </c>
      <c r="N75" s="7" t="b">
        <v>0</v>
      </c>
      <c r="O75" s="8" t="b">
        <v>0</v>
      </c>
      <c r="P75" s="7" t="b">
        <v>1</v>
      </c>
      <c r="Q75">
        <f t="shared" si="10"/>
        <v>2</v>
      </c>
      <c r="R75">
        <f t="shared" si="11"/>
        <v>3</v>
      </c>
      <c r="S75" s="11">
        <f t="shared" si="12"/>
        <v>40</v>
      </c>
      <c r="T75" t="str">
        <f t="shared" si="13"/>
        <v>Warning</v>
      </c>
    </row>
    <row r="76" spans="1:20" x14ac:dyDescent="0.25">
      <c r="A76" t="s">
        <v>121</v>
      </c>
      <c r="B76" t="s">
        <v>383</v>
      </c>
      <c r="C76" t="s">
        <v>15</v>
      </c>
      <c r="D76">
        <v>59</v>
      </c>
      <c r="E76">
        <v>58</v>
      </c>
      <c r="F76">
        <v>77</v>
      </c>
      <c r="G76">
        <f t="shared" si="8"/>
        <v>194</v>
      </c>
      <c r="H76" s="2">
        <f t="shared" si="7"/>
        <v>64.666666666666671</v>
      </c>
      <c r="I76">
        <f t="shared" si="9"/>
        <v>2.5</v>
      </c>
      <c r="J76">
        <v>98</v>
      </c>
      <c r="K76">
        <v>211.1</v>
      </c>
      <c r="L76" s="7" t="b">
        <v>1</v>
      </c>
      <c r="M76" s="8" t="b">
        <v>1</v>
      </c>
      <c r="N76" s="7" t="b">
        <v>1</v>
      </c>
      <c r="O76" s="8" t="b">
        <v>1</v>
      </c>
      <c r="P76" s="7" t="b">
        <v>0</v>
      </c>
      <c r="Q76">
        <f t="shared" si="10"/>
        <v>4</v>
      </c>
      <c r="R76">
        <f t="shared" si="11"/>
        <v>1</v>
      </c>
      <c r="S76" s="11">
        <f t="shared" si="12"/>
        <v>80</v>
      </c>
      <c r="T76" t="str">
        <f t="shared" si="13"/>
        <v>Safe</v>
      </c>
    </row>
    <row r="77" spans="1:20" x14ac:dyDescent="0.25">
      <c r="A77" t="s">
        <v>114</v>
      </c>
      <c r="B77" t="s">
        <v>384</v>
      </c>
      <c r="C77" t="s">
        <v>25</v>
      </c>
      <c r="D77">
        <v>69</v>
      </c>
      <c r="E77">
        <v>59</v>
      </c>
      <c r="F77">
        <v>84</v>
      </c>
      <c r="G77">
        <f t="shared" si="8"/>
        <v>212</v>
      </c>
      <c r="H77" s="2">
        <f t="shared" si="7"/>
        <v>70.666666666666671</v>
      </c>
      <c r="I77">
        <f t="shared" si="9"/>
        <v>3</v>
      </c>
      <c r="J77">
        <v>91</v>
      </c>
      <c r="K77">
        <v>211.1</v>
      </c>
      <c r="L77" s="7" t="b">
        <v>1</v>
      </c>
      <c r="M77" s="8" t="b">
        <v>0</v>
      </c>
      <c r="N77" s="7" t="b">
        <v>1</v>
      </c>
      <c r="O77" s="8" t="b">
        <v>0</v>
      </c>
      <c r="P77" s="7" t="b">
        <v>1</v>
      </c>
      <c r="Q77">
        <f t="shared" si="10"/>
        <v>3</v>
      </c>
      <c r="R77">
        <f t="shared" si="11"/>
        <v>2</v>
      </c>
      <c r="S77" s="11">
        <f t="shared" si="12"/>
        <v>60</v>
      </c>
      <c r="T77" t="str">
        <f t="shared" si="13"/>
        <v>Warning</v>
      </c>
    </row>
    <row r="78" spans="1:20" x14ac:dyDescent="0.25">
      <c r="A78" t="s">
        <v>142</v>
      </c>
      <c r="B78" t="s">
        <v>385</v>
      </c>
      <c r="C78" t="s">
        <v>15</v>
      </c>
      <c r="D78">
        <v>50</v>
      </c>
      <c r="E78">
        <v>71</v>
      </c>
      <c r="F78">
        <v>90</v>
      </c>
      <c r="G78">
        <f t="shared" si="8"/>
        <v>211</v>
      </c>
      <c r="H78" s="2">
        <f t="shared" si="7"/>
        <v>70.333333333333329</v>
      </c>
      <c r="I78">
        <f t="shared" si="9"/>
        <v>3</v>
      </c>
      <c r="J78">
        <v>55</v>
      </c>
      <c r="K78">
        <v>211.1</v>
      </c>
      <c r="L78" s="7" t="b">
        <v>1</v>
      </c>
      <c r="M78" s="8" t="b">
        <v>1</v>
      </c>
      <c r="N78" s="7" t="b">
        <v>1</v>
      </c>
      <c r="O78" s="8" t="b">
        <v>1</v>
      </c>
      <c r="P78" s="7" t="b">
        <v>1</v>
      </c>
      <c r="Q78">
        <f t="shared" si="10"/>
        <v>5</v>
      </c>
      <c r="R78">
        <f t="shared" si="11"/>
        <v>0</v>
      </c>
      <c r="S78" s="11">
        <f t="shared" si="12"/>
        <v>100</v>
      </c>
      <c r="T78" t="str">
        <f t="shared" si="13"/>
        <v>Safe</v>
      </c>
    </row>
    <row r="79" spans="1:20" x14ac:dyDescent="0.25">
      <c r="A79" t="s">
        <v>16</v>
      </c>
      <c r="B79" t="s">
        <v>386</v>
      </c>
      <c r="C79" t="s">
        <v>25</v>
      </c>
      <c r="D79">
        <v>97</v>
      </c>
      <c r="E79">
        <v>46</v>
      </c>
      <c r="F79">
        <v>93</v>
      </c>
      <c r="G79">
        <f t="shared" si="8"/>
        <v>236</v>
      </c>
      <c r="H79" s="2">
        <f t="shared" si="7"/>
        <v>78.666666666666671</v>
      </c>
      <c r="I79">
        <f t="shared" si="9"/>
        <v>3</v>
      </c>
      <c r="J79">
        <v>64</v>
      </c>
      <c r="K79">
        <v>211.1</v>
      </c>
      <c r="L79" s="7" t="b">
        <v>1</v>
      </c>
      <c r="M79" s="8" t="b">
        <v>1</v>
      </c>
      <c r="N79" s="7" t="b">
        <v>1</v>
      </c>
      <c r="O79" s="8" t="b">
        <v>1</v>
      </c>
      <c r="P79" s="7" t="b">
        <v>1</v>
      </c>
      <c r="Q79">
        <f t="shared" si="10"/>
        <v>5</v>
      </c>
      <c r="R79">
        <f t="shared" si="11"/>
        <v>0</v>
      </c>
      <c r="S79" s="11">
        <f t="shared" si="12"/>
        <v>100</v>
      </c>
      <c r="T79" t="str">
        <f t="shared" si="13"/>
        <v>Safe</v>
      </c>
    </row>
    <row r="80" spans="1:20" x14ac:dyDescent="0.25">
      <c r="A80" t="s">
        <v>145</v>
      </c>
      <c r="B80" t="s">
        <v>387</v>
      </c>
      <c r="C80" t="s">
        <v>52</v>
      </c>
      <c r="D80">
        <v>94</v>
      </c>
      <c r="E80">
        <v>91</v>
      </c>
      <c r="F80">
        <v>47</v>
      </c>
      <c r="G80">
        <f t="shared" si="8"/>
        <v>232</v>
      </c>
      <c r="H80" s="2">
        <f t="shared" si="7"/>
        <v>77.333333333333329</v>
      </c>
      <c r="I80">
        <f t="shared" si="9"/>
        <v>3</v>
      </c>
      <c r="J80">
        <v>92</v>
      </c>
      <c r="K80">
        <v>211.1</v>
      </c>
      <c r="L80" s="7" t="b">
        <v>1</v>
      </c>
      <c r="M80" s="8" t="b">
        <v>1</v>
      </c>
      <c r="N80" s="7" t="b">
        <v>1</v>
      </c>
      <c r="O80" s="8" t="b">
        <v>0</v>
      </c>
      <c r="P80" s="7" t="b">
        <v>0</v>
      </c>
      <c r="Q80">
        <f t="shared" si="10"/>
        <v>3</v>
      </c>
      <c r="R80">
        <f t="shared" si="11"/>
        <v>2</v>
      </c>
      <c r="S80" s="11">
        <f t="shared" si="12"/>
        <v>60</v>
      </c>
      <c r="T80" t="str">
        <f t="shared" si="13"/>
        <v>Warning</v>
      </c>
    </row>
    <row r="81" spans="1:20" x14ac:dyDescent="0.25">
      <c r="A81" t="s">
        <v>107</v>
      </c>
      <c r="B81" t="s">
        <v>388</v>
      </c>
      <c r="C81" t="s">
        <v>12</v>
      </c>
      <c r="D81">
        <v>67</v>
      </c>
      <c r="E81">
        <v>80</v>
      </c>
      <c r="F81">
        <v>66</v>
      </c>
      <c r="G81">
        <f t="shared" si="8"/>
        <v>213</v>
      </c>
      <c r="H81" s="2">
        <f t="shared" si="7"/>
        <v>71</v>
      </c>
      <c r="I81">
        <f t="shared" si="9"/>
        <v>3</v>
      </c>
      <c r="J81">
        <v>86</v>
      </c>
      <c r="K81">
        <v>211.1</v>
      </c>
      <c r="L81" s="7" t="b">
        <v>1</v>
      </c>
      <c r="M81" s="8" t="b">
        <v>1</v>
      </c>
      <c r="N81" s="7" t="b">
        <v>1</v>
      </c>
      <c r="O81" s="8" t="b">
        <v>1</v>
      </c>
      <c r="P81" s="7" t="b">
        <v>1</v>
      </c>
      <c r="Q81">
        <f t="shared" si="10"/>
        <v>5</v>
      </c>
      <c r="R81">
        <f t="shared" si="11"/>
        <v>0</v>
      </c>
      <c r="S81" s="11">
        <f t="shared" si="12"/>
        <v>100</v>
      </c>
      <c r="T81" t="str">
        <f t="shared" si="13"/>
        <v>Safe</v>
      </c>
    </row>
    <row r="82" spans="1:20" x14ac:dyDescent="0.25">
      <c r="A82" t="s">
        <v>79</v>
      </c>
      <c r="B82" t="s">
        <v>389</v>
      </c>
      <c r="C82" t="s">
        <v>12</v>
      </c>
      <c r="D82">
        <v>64</v>
      </c>
      <c r="E82">
        <v>72</v>
      </c>
      <c r="F82">
        <v>66</v>
      </c>
      <c r="G82">
        <f t="shared" si="8"/>
        <v>202</v>
      </c>
      <c r="H82" s="2">
        <f t="shared" si="7"/>
        <v>67.333333333333329</v>
      </c>
      <c r="I82">
        <f t="shared" si="9"/>
        <v>2.5</v>
      </c>
      <c r="J82">
        <v>82</v>
      </c>
      <c r="K82">
        <v>211.1</v>
      </c>
      <c r="L82" s="7" t="b">
        <v>0</v>
      </c>
      <c r="M82" s="8" t="b">
        <v>0</v>
      </c>
      <c r="N82" s="7" t="b">
        <v>1</v>
      </c>
      <c r="O82" s="8" t="b">
        <v>1</v>
      </c>
      <c r="P82" s="7" t="b">
        <v>1</v>
      </c>
      <c r="Q82">
        <f t="shared" si="10"/>
        <v>3</v>
      </c>
      <c r="R82">
        <f t="shared" si="11"/>
        <v>2</v>
      </c>
      <c r="S82" s="11">
        <f t="shared" si="12"/>
        <v>60</v>
      </c>
      <c r="T82" t="str">
        <f t="shared" si="13"/>
        <v>Warning</v>
      </c>
    </row>
    <row r="83" spans="1:20" x14ac:dyDescent="0.25">
      <c r="A83" t="s">
        <v>149</v>
      </c>
      <c r="B83" t="s">
        <v>390</v>
      </c>
      <c r="C83" t="s">
        <v>12</v>
      </c>
      <c r="D83">
        <v>78</v>
      </c>
      <c r="E83">
        <v>79</v>
      </c>
      <c r="F83">
        <v>73</v>
      </c>
      <c r="G83">
        <f t="shared" si="8"/>
        <v>230</v>
      </c>
      <c r="H83" s="2">
        <f t="shared" si="7"/>
        <v>76.666666666666671</v>
      </c>
      <c r="I83">
        <f t="shared" si="9"/>
        <v>3</v>
      </c>
      <c r="J83">
        <v>57</v>
      </c>
      <c r="K83">
        <v>211.1</v>
      </c>
      <c r="L83" s="7" t="b">
        <v>1</v>
      </c>
      <c r="M83" s="8" t="b">
        <v>1</v>
      </c>
      <c r="N83" s="7" t="b">
        <v>1</v>
      </c>
      <c r="O83" s="8" t="b">
        <v>1</v>
      </c>
      <c r="P83" s="7" t="b">
        <v>1</v>
      </c>
      <c r="Q83">
        <f t="shared" si="10"/>
        <v>5</v>
      </c>
      <c r="R83">
        <f t="shared" si="11"/>
        <v>0</v>
      </c>
      <c r="S83" s="11">
        <f t="shared" si="12"/>
        <v>100</v>
      </c>
      <c r="T83" t="str">
        <f t="shared" si="13"/>
        <v>Safe</v>
      </c>
    </row>
    <row r="84" spans="1:20" x14ac:dyDescent="0.25">
      <c r="A84" t="s">
        <v>89</v>
      </c>
      <c r="B84" t="s">
        <v>391</v>
      </c>
      <c r="C84" t="s">
        <v>15</v>
      </c>
      <c r="D84">
        <v>72</v>
      </c>
      <c r="E84">
        <v>78</v>
      </c>
      <c r="F84">
        <v>60</v>
      </c>
      <c r="G84">
        <f t="shared" si="8"/>
        <v>210</v>
      </c>
      <c r="H84" s="2">
        <f t="shared" si="7"/>
        <v>70</v>
      </c>
      <c r="I84">
        <f t="shared" si="9"/>
        <v>3</v>
      </c>
      <c r="J84">
        <v>93</v>
      </c>
      <c r="K84">
        <v>211.1</v>
      </c>
      <c r="L84" s="7" t="b">
        <v>1</v>
      </c>
      <c r="M84" s="8" t="b">
        <v>1</v>
      </c>
      <c r="N84" s="7" t="b">
        <v>0</v>
      </c>
      <c r="O84" s="8" t="b">
        <v>1</v>
      </c>
      <c r="P84" s="7" t="b">
        <v>1</v>
      </c>
      <c r="Q84">
        <f t="shared" si="10"/>
        <v>4</v>
      </c>
      <c r="R84">
        <f t="shared" si="11"/>
        <v>1</v>
      </c>
      <c r="S84" s="11">
        <f t="shared" si="12"/>
        <v>80</v>
      </c>
      <c r="T84" t="str">
        <f t="shared" si="13"/>
        <v>Safe</v>
      </c>
    </row>
    <row r="85" spans="1:20" x14ac:dyDescent="0.25">
      <c r="A85" t="s">
        <v>109</v>
      </c>
      <c r="B85" t="s">
        <v>392</v>
      </c>
      <c r="C85" t="s">
        <v>52</v>
      </c>
      <c r="D85">
        <v>40</v>
      </c>
      <c r="E85">
        <v>57</v>
      </c>
      <c r="F85">
        <v>69</v>
      </c>
      <c r="G85">
        <f t="shared" si="8"/>
        <v>166</v>
      </c>
      <c r="H85" s="2">
        <f t="shared" si="7"/>
        <v>55.333333333333336</v>
      </c>
      <c r="I85">
        <f t="shared" si="9"/>
        <v>2</v>
      </c>
      <c r="J85">
        <v>93</v>
      </c>
      <c r="K85">
        <v>211.1</v>
      </c>
      <c r="L85" s="7" t="b">
        <v>1</v>
      </c>
      <c r="M85" s="8" t="b">
        <v>0</v>
      </c>
      <c r="N85" s="7" t="b">
        <v>1</v>
      </c>
      <c r="O85" s="8" t="b">
        <v>1</v>
      </c>
      <c r="P85" s="7" t="b">
        <v>0</v>
      </c>
      <c r="Q85">
        <f t="shared" si="10"/>
        <v>3</v>
      </c>
      <c r="R85">
        <f t="shared" si="11"/>
        <v>2</v>
      </c>
      <c r="S85" s="11">
        <f t="shared" si="12"/>
        <v>60</v>
      </c>
      <c r="T85" t="str">
        <f t="shared" si="13"/>
        <v>Warning</v>
      </c>
    </row>
    <row r="86" spans="1:20" x14ac:dyDescent="0.25">
      <c r="A86" t="s">
        <v>153</v>
      </c>
      <c r="B86" t="s">
        <v>393</v>
      </c>
      <c r="C86" t="s">
        <v>15</v>
      </c>
      <c r="D86">
        <v>96</v>
      </c>
      <c r="E86">
        <v>79</v>
      </c>
      <c r="F86">
        <v>72</v>
      </c>
      <c r="G86">
        <f t="shared" si="8"/>
        <v>247</v>
      </c>
      <c r="H86" s="2">
        <f t="shared" si="7"/>
        <v>82.333333333333329</v>
      </c>
      <c r="I86">
        <f t="shared" si="9"/>
        <v>3.7</v>
      </c>
      <c r="J86">
        <v>54</v>
      </c>
      <c r="K86">
        <v>211.1</v>
      </c>
      <c r="L86" s="7" t="b">
        <v>1</v>
      </c>
      <c r="M86" s="8" t="b">
        <v>0</v>
      </c>
      <c r="N86" s="7" t="b">
        <v>1</v>
      </c>
      <c r="O86" s="8" t="b">
        <v>1</v>
      </c>
      <c r="P86" s="7" t="b">
        <v>1</v>
      </c>
      <c r="Q86">
        <f t="shared" si="10"/>
        <v>4</v>
      </c>
      <c r="R86">
        <f t="shared" si="11"/>
        <v>1</v>
      </c>
      <c r="S86" s="11">
        <f t="shared" si="12"/>
        <v>80</v>
      </c>
      <c r="T86" t="str">
        <f t="shared" si="13"/>
        <v>Safe</v>
      </c>
    </row>
    <row r="87" spans="1:20" x14ac:dyDescent="0.25">
      <c r="A87" t="s">
        <v>19</v>
      </c>
      <c r="B87" t="s">
        <v>394</v>
      </c>
      <c r="C87" t="s">
        <v>15</v>
      </c>
      <c r="D87">
        <v>66</v>
      </c>
      <c r="E87">
        <v>40</v>
      </c>
      <c r="F87">
        <v>67</v>
      </c>
      <c r="G87">
        <f t="shared" si="8"/>
        <v>173</v>
      </c>
      <c r="H87" s="2">
        <f t="shared" si="7"/>
        <v>57.666666666666664</v>
      </c>
      <c r="I87">
        <f t="shared" si="9"/>
        <v>2</v>
      </c>
      <c r="J87">
        <v>88</v>
      </c>
      <c r="K87">
        <v>211.1</v>
      </c>
      <c r="L87" s="7" t="b">
        <v>1</v>
      </c>
      <c r="M87" s="8" t="b">
        <v>1</v>
      </c>
      <c r="N87" s="7" t="b">
        <v>1</v>
      </c>
      <c r="O87" s="8" t="b">
        <v>1</v>
      </c>
      <c r="P87" s="7" t="b">
        <v>0</v>
      </c>
      <c r="Q87">
        <f t="shared" si="10"/>
        <v>4</v>
      </c>
      <c r="R87">
        <f t="shared" si="11"/>
        <v>1</v>
      </c>
      <c r="S87" s="11">
        <f t="shared" si="12"/>
        <v>80</v>
      </c>
      <c r="T87" t="str">
        <f t="shared" si="13"/>
        <v>Warning</v>
      </c>
    </row>
    <row r="88" spans="1:20" x14ac:dyDescent="0.25">
      <c r="A88" t="s">
        <v>57</v>
      </c>
      <c r="B88" t="s">
        <v>395</v>
      </c>
      <c r="C88" t="s">
        <v>52</v>
      </c>
      <c r="D88">
        <v>96</v>
      </c>
      <c r="E88">
        <v>50</v>
      </c>
      <c r="F88">
        <v>86</v>
      </c>
      <c r="G88">
        <f t="shared" si="8"/>
        <v>232</v>
      </c>
      <c r="H88" s="2">
        <f t="shared" si="7"/>
        <v>77.333333333333329</v>
      </c>
      <c r="I88">
        <f t="shared" si="9"/>
        <v>3</v>
      </c>
      <c r="J88">
        <v>53</v>
      </c>
      <c r="K88">
        <v>211.1</v>
      </c>
      <c r="L88" s="7" t="b">
        <v>1</v>
      </c>
      <c r="M88" s="8" t="b">
        <v>1</v>
      </c>
      <c r="N88" s="7" t="b">
        <v>0</v>
      </c>
      <c r="O88" s="8" t="b">
        <v>1</v>
      </c>
      <c r="P88" s="7" t="b">
        <v>1</v>
      </c>
      <c r="Q88">
        <f t="shared" si="10"/>
        <v>4</v>
      </c>
      <c r="R88">
        <f t="shared" si="11"/>
        <v>1</v>
      </c>
      <c r="S88" s="11">
        <f t="shared" si="12"/>
        <v>80</v>
      </c>
      <c r="T88" t="str">
        <f t="shared" si="13"/>
        <v>Safe</v>
      </c>
    </row>
    <row r="89" spans="1:20" x14ac:dyDescent="0.25">
      <c r="A89" t="s">
        <v>123</v>
      </c>
      <c r="B89" t="s">
        <v>396</v>
      </c>
      <c r="C89" t="s">
        <v>52</v>
      </c>
      <c r="D89">
        <v>91</v>
      </c>
      <c r="E89">
        <v>67</v>
      </c>
      <c r="F89">
        <v>72</v>
      </c>
      <c r="G89">
        <f t="shared" si="8"/>
        <v>230</v>
      </c>
      <c r="H89" s="2">
        <f t="shared" si="7"/>
        <v>76.666666666666671</v>
      </c>
      <c r="I89">
        <f t="shared" si="9"/>
        <v>3</v>
      </c>
      <c r="J89">
        <v>55</v>
      </c>
      <c r="K89">
        <v>211.1</v>
      </c>
      <c r="L89" s="7" t="b">
        <v>1</v>
      </c>
      <c r="M89" s="8" t="b">
        <v>1</v>
      </c>
      <c r="N89" s="7" t="b">
        <v>1</v>
      </c>
      <c r="O89" s="8" t="b">
        <v>1</v>
      </c>
      <c r="P89" s="7" t="b">
        <v>0</v>
      </c>
      <c r="Q89">
        <f t="shared" si="10"/>
        <v>4</v>
      </c>
      <c r="R89">
        <f t="shared" si="11"/>
        <v>1</v>
      </c>
      <c r="S89" s="11">
        <f t="shared" si="12"/>
        <v>80</v>
      </c>
      <c r="T89" t="str">
        <f t="shared" si="13"/>
        <v>Safe</v>
      </c>
    </row>
    <row r="90" spans="1:20" x14ac:dyDescent="0.25">
      <c r="A90" t="s">
        <v>91</v>
      </c>
      <c r="B90" t="s">
        <v>397</v>
      </c>
      <c r="C90" t="s">
        <v>52</v>
      </c>
      <c r="D90">
        <v>52</v>
      </c>
      <c r="E90">
        <v>96</v>
      </c>
      <c r="F90">
        <v>44</v>
      </c>
      <c r="G90">
        <f t="shared" si="8"/>
        <v>192</v>
      </c>
      <c r="H90" s="2">
        <f t="shared" si="7"/>
        <v>64</v>
      </c>
      <c r="I90">
        <f t="shared" si="9"/>
        <v>2.5</v>
      </c>
      <c r="J90">
        <v>94</v>
      </c>
      <c r="K90">
        <v>211.1</v>
      </c>
      <c r="L90" s="7" t="b">
        <v>0</v>
      </c>
      <c r="M90" s="8" t="b">
        <v>1</v>
      </c>
      <c r="N90" s="7" t="b">
        <v>1</v>
      </c>
      <c r="O90" s="8" t="b">
        <v>1</v>
      </c>
      <c r="P90" s="7" t="b">
        <v>1</v>
      </c>
      <c r="Q90">
        <f t="shared" si="10"/>
        <v>4</v>
      </c>
      <c r="R90">
        <f t="shared" si="11"/>
        <v>1</v>
      </c>
      <c r="S90" s="11">
        <f t="shared" si="12"/>
        <v>80</v>
      </c>
      <c r="T90" t="str">
        <f t="shared" si="13"/>
        <v>Safe</v>
      </c>
    </row>
    <row r="91" spans="1:20" x14ac:dyDescent="0.25">
      <c r="A91" t="s">
        <v>50</v>
      </c>
      <c r="B91" t="s">
        <v>398</v>
      </c>
      <c r="C91" t="s">
        <v>52</v>
      </c>
      <c r="D91">
        <v>80</v>
      </c>
      <c r="E91">
        <v>64</v>
      </c>
      <c r="F91">
        <v>99</v>
      </c>
      <c r="G91">
        <f t="shared" si="8"/>
        <v>243</v>
      </c>
      <c r="H91" s="2">
        <f t="shared" si="7"/>
        <v>81</v>
      </c>
      <c r="I91">
        <f t="shared" si="9"/>
        <v>3.7</v>
      </c>
      <c r="J91">
        <v>81</v>
      </c>
      <c r="K91">
        <v>211.1</v>
      </c>
      <c r="L91" s="7" t="b">
        <v>1</v>
      </c>
      <c r="M91" s="8" t="b">
        <v>0</v>
      </c>
      <c r="N91" s="7" t="b">
        <v>1</v>
      </c>
      <c r="O91" s="8" t="b">
        <v>1</v>
      </c>
      <c r="P91" s="7" t="b">
        <v>1</v>
      </c>
      <c r="Q91">
        <f t="shared" si="10"/>
        <v>4</v>
      </c>
      <c r="R91">
        <f t="shared" si="11"/>
        <v>1</v>
      </c>
      <c r="S91" s="11">
        <f t="shared" si="12"/>
        <v>80</v>
      </c>
      <c r="T91" t="str">
        <f t="shared" si="13"/>
        <v>Safe</v>
      </c>
    </row>
    <row r="92" spans="1:20" x14ac:dyDescent="0.25">
      <c r="A92" t="s">
        <v>160</v>
      </c>
      <c r="B92" t="s">
        <v>399</v>
      </c>
      <c r="C92" t="s">
        <v>12</v>
      </c>
      <c r="D92">
        <v>42</v>
      </c>
      <c r="E92">
        <v>89</v>
      </c>
      <c r="F92">
        <v>100</v>
      </c>
      <c r="G92">
        <f t="shared" si="8"/>
        <v>231</v>
      </c>
      <c r="H92" s="2">
        <f t="shared" si="7"/>
        <v>77</v>
      </c>
      <c r="I92">
        <f t="shared" si="9"/>
        <v>3</v>
      </c>
      <c r="J92">
        <v>79</v>
      </c>
      <c r="K92">
        <v>211.1</v>
      </c>
      <c r="L92" s="7" t="b">
        <v>1</v>
      </c>
      <c r="M92" s="8" t="b">
        <v>1</v>
      </c>
      <c r="N92" s="7" t="b">
        <v>1</v>
      </c>
      <c r="O92" s="8" t="b">
        <v>0</v>
      </c>
      <c r="P92" s="7" t="b">
        <v>1</v>
      </c>
      <c r="Q92">
        <f t="shared" si="10"/>
        <v>4</v>
      </c>
      <c r="R92">
        <f t="shared" si="11"/>
        <v>1</v>
      </c>
      <c r="S92" s="11">
        <f t="shared" si="12"/>
        <v>80</v>
      </c>
      <c r="T92" t="str">
        <f t="shared" si="13"/>
        <v>Safe</v>
      </c>
    </row>
    <row r="93" spans="1:20" x14ac:dyDescent="0.25">
      <c r="A93" t="s">
        <v>105</v>
      </c>
      <c r="B93" t="s">
        <v>400</v>
      </c>
      <c r="C93" t="s">
        <v>18</v>
      </c>
      <c r="D93">
        <v>78</v>
      </c>
      <c r="E93">
        <v>62</v>
      </c>
      <c r="F93">
        <v>87</v>
      </c>
      <c r="G93">
        <f t="shared" si="8"/>
        <v>227</v>
      </c>
      <c r="H93" s="2">
        <f t="shared" si="7"/>
        <v>75.666666666666671</v>
      </c>
      <c r="I93">
        <f t="shared" si="9"/>
        <v>3</v>
      </c>
      <c r="J93">
        <v>96</v>
      </c>
      <c r="K93">
        <v>211.1</v>
      </c>
      <c r="L93" s="7" t="b">
        <v>1</v>
      </c>
      <c r="M93" s="8" t="b">
        <v>1</v>
      </c>
      <c r="N93" s="7" t="b">
        <v>1</v>
      </c>
      <c r="O93" s="8" t="b">
        <v>1</v>
      </c>
      <c r="P93" s="7" t="b">
        <v>0</v>
      </c>
      <c r="Q93">
        <f t="shared" si="10"/>
        <v>4</v>
      </c>
      <c r="R93">
        <f t="shared" si="11"/>
        <v>1</v>
      </c>
      <c r="S93" s="11">
        <f t="shared" si="12"/>
        <v>80</v>
      </c>
      <c r="T93" t="str">
        <f t="shared" si="13"/>
        <v>Safe</v>
      </c>
    </row>
    <row r="94" spans="1:20" x14ac:dyDescent="0.25">
      <c r="A94" t="s">
        <v>163</v>
      </c>
      <c r="B94" t="s">
        <v>401</v>
      </c>
      <c r="C94" t="s">
        <v>18</v>
      </c>
      <c r="D94">
        <v>45</v>
      </c>
      <c r="E94">
        <v>70</v>
      </c>
      <c r="F94">
        <v>58</v>
      </c>
      <c r="G94">
        <f t="shared" si="8"/>
        <v>173</v>
      </c>
      <c r="H94" s="2">
        <f t="shared" si="7"/>
        <v>57.666666666666664</v>
      </c>
      <c r="I94">
        <f t="shared" si="9"/>
        <v>2</v>
      </c>
      <c r="J94">
        <v>84</v>
      </c>
      <c r="K94">
        <v>211.1</v>
      </c>
      <c r="L94" s="7" t="b">
        <v>1</v>
      </c>
      <c r="M94" s="8" t="b">
        <v>0</v>
      </c>
      <c r="N94" s="7" t="b">
        <v>1</v>
      </c>
      <c r="O94" s="8" t="b">
        <v>1</v>
      </c>
      <c r="P94" s="7" t="b">
        <v>1</v>
      </c>
      <c r="Q94">
        <f t="shared" si="10"/>
        <v>4</v>
      </c>
      <c r="R94">
        <f t="shared" si="11"/>
        <v>1</v>
      </c>
      <c r="S94" s="11">
        <f t="shared" si="12"/>
        <v>80</v>
      </c>
      <c r="T94" t="str">
        <f t="shared" si="13"/>
        <v>Warning</v>
      </c>
    </row>
    <row r="95" spans="1:20" x14ac:dyDescent="0.25">
      <c r="A95" t="s">
        <v>16</v>
      </c>
      <c r="B95" t="s">
        <v>402</v>
      </c>
      <c r="C95" t="s">
        <v>52</v>
      </c>
      <c r="D95">
        <v>47</v>
      </c>
      <c r="E95">
        <v>69</v>
      </c>
      <c r="F95">
        <v>43</v>
      </c>
      <c r="G95">
        <f t="shared" si="8"/>
        <v>159</v>
      </c>
      <c r="H95" s="2">
        <f t="shared" si="7"/>
        <v>53</v>
      </c>
      <c r="I95">
        <f t="shared" si="9"/>
        <v>2</v>
      </c>
      <c r="J95">
        <v>89</v>
      </c>
      <c r="K95">
        <v>211.1</v>
      </c>
      <c r="L95" s="7" t="b">
        <v>1</v>
      </c>
      <c r="M95" s="8" t="b">
        <v>0</v>
      </c>
      <c r="N95" s="7" t="b">
        <v>1</v>
      </c>
      <c r="O95" s="8" t="b">
        <v>1</v>
      </c>
      <c r="P95" s="7" t="b">
        <v>1</v>
      </c>
      <c r="Q95">
        <f t="shared" si="10"/>
        <v>4</v>
      </c>
      <c r="R95">
        <f t="shared" si="11"/>
        <v>1</v>
      </c>
      <c r="S95" s="11">
        <f t="shared" si="12"/>
        <v>80</v>
      </c>
      <c r="T95" t="str">
        <f t="shared" si="13"/>
        <v>Warning</v>
      </c>
    </row>
    <row r="96" spans="1:20" x14ac:dyDescent="0.25">
      <c r="A96" t="s">
        <v>166</v>
      </c>
      <c r="B96" t="s">
        <v>403</v>
      </c>
      <c r="C96" t="s">
        <v>18</v>
      </c>
      <c r="D96">
        <v>66</v>
      </c>
      <c r="E96">
        <v>81</v>
      </c>
      <c r="F96">
        <v>74</v>
      </c>
      <c r="G96">
        <f t="shared" si="8"/>
        <v>221</v>
      </c>
      <c r="H96" s="2">
        <f t="shared" si="7"/>
        <v>73.666666666666671</v>
      </c>
      <c r="I96">
        <f t="shared" si="9"/>
        <v>3</v>
      </c>
      <c r="J96">
        <v>65</v>
      </c>
      <c r="K96">
        <v>211.1</v>
      </c>
      <c r="L96" s="7" t="b">
        <v>1</v>
      </c>
      <c r="M96" s="8" t="b">
        <v>1</v>
      </c>
      <c r="N96" s="7" t="b">
        <v>1</v>
      </c>
      <c r="O96" s="8" t="b">
        <v>1</v>
      </c>
      <c r="P96" s="7" t="b">
        <v>1</v>
      </c>
      <c r="Q96">
        <f t="shared" si="10"/>
        <v>5</v>
      </c>
      <c r="R96">
        <f t="shared" si="11"/>
        <v>0</v>
      </c>
      <c r="S96" s="11">
        <f t="shared" si="12"/>
        <v>100</v>
      </c>
      <c r="T96" t="str">
        <f t="shared" si="13"/>
        <v>Safe</v>
      </c>
    </row>
    <row r="97" spans="1:20" x14ac:dyDescent="0.25">
      <c r="A97" t="s">
        <v>168</v>
      </c>
      <c r="B97" t="s">
        <v>404</v>
      </c>
      <c r="C97" t="s">
        <v>18</v>
      </c>
      <c r="D97">
        <v>48</v>
      </c>
      <c r="E97">
        <v>74</v>
      </c>
      <c r="F97">
        <v>88</v>
      </c>
      <c r="G97">
        <f t="shared" si="8"/>
        <v>210</v>
      </c>
      <c r="H97" s="2">
        <f t="shared" si="7"/>
        <v>70</v>
      </c>
      <c r="I97">
        <f t="shared" si="9"/>
        <v>3</v>
      </c>
      <c r="J97">
        <v>62</v>
      </c>
      <c r="K97">
        <v>211.1</v>
      </c>
      <c r="L97" s="7" t="b">
        <v>1</v>
      </c>
      <c r="M97" s="8" t="b">
        <v>1</v>
      </c>
      <c r="N97" s="7" t="b">
        <v>0</v>
      </c>
      <c r="O97" s="8" t="b">
        <v>1</v>
      </c>
      <c r="P97" s="7" t="b">
        <v>1</v>
      </c>
      <c r="Q97">
        <f t="shared" si="10"/>
        <v>4</v>
      </c>
      <c r="R97">
        <f t="shared" si="11"/>
        <v>1</v>
      </c>
      <c r="S97" s="11">
        <f t="shared" si="12"/>
        <v>80</v>
      </c>
      <c r="T97" t="str">
        <f t="shared" si="13"/>
        <v>Safe</v>
      </c>
    </row>
    <row r="98" spans="1:20" x14ac:dyDescent="0.25">
      <c r="A98" t="s">
        <v>170</v>
      </c>
      <c r="B98" t="s">
        <v>405</v>
      </c>
      <c r="C98" t="s">
        <v>52</v>
      </c>
      <c r="D98">
        <v>76</v>
      </c>
      <c r="E98">
        <v>46</v>
      </c>
      <c r="F98">
        <v>56</v>
      </c>
      <c r="G98">
        <f t="shared" si="8"/>
        <v>178</v>
      </c>
      <c r="H98" s="2">
        <f t="shared" si="7"/>
        <v>59.333333333333336</v>
      </c>
      <c r="I98">
        <f t="shared" si="9"/>
        <v>2</v>
      </c>
      <c r="J98">
        <v>99</v>
      </c>
      <c r="K98">
        <v>211.1</v>
      </c>
      <c r="L98" s="7" t="b">
        <v>0</v>
      </c>
      <c r="M98" s="8" t="b">
        <v>1</v>
      </c>
      <c r="N98" s="7" t="b">
        <v>1</v>
      </c>
      <c r="O98" s="8" t="b">
        <v>1</v>
      </c>
      <c r="P98" s="7" t="b">
        <v>0</v>
      </c>
      <c r="Q98">
        <f t="shared" si="10"/>
        <v>3</v>
      </c>
      <c r="R98">
        <f t="shared" si="11"/>
        <v>2</v>
      </c>
      <c r="S98" s="11">
        <f t="shared" si="12"/>
        <v>60</v>
      </c>
      <c r="T98" t="str">
        <f t="shared" si="13"/>
        <v>Warning</v>
      </c>
    </row>
    <row r="99" spans="1:20" x14ac:dyDescent="0.25">
      <c r="A99" t="s">
        <v>48</v>
      </c>
      <c r="B99" t="s">
        <v>406</v>
      </c>
      <c r="C99" t="s">
        <v>18</v>
      </c>
      <c r="D99">
        <v>72</v>
      </c>
      <c r="E99">
        <v>99</v>
      </c>
      <c r="F99">
        <v>83</v>
      </c>
      <c r="G99">
        <f t="shared" si="8"/>
        <v>254</v>
      </c>
      <c r="H99" s="2">
        <f t="shared" si="7"/>
        <v>84.666666666666671</v>
      </c>
      <c r="I99">
        <f t="shared" si="9"/>
        <v>3.7</v>
      </c>
      <c r="J99">
        <v>91</v>
      </c>
      <c r="K99">
        <v>211.1</v>
      </c>
      <c r="L99" s="7" t="b">
        <v>1</v>
      </c>
      <c r="M99" s="8" t="b">
        <v>1</v>
      </c>
      <c r="N99" s="7" t="b">
        <v>1</v>
      </c>
      <c r="O99" s="8" t="b">
        <v>0</v>
      </c>
      <c r="P99" s="7" t="b">
        <v>1</v>
      </c>
      <c r="Q99">
        <f t="shared" si="10"/>
        <v>4</v>
      </c>
      <c r="R99">
        <f t="shared" si="11"/>
        <v>1</v>
      </c>
      <c r="S99" s="11">
        <f t="shared" si="12"/>
        <v>80</v>
      </c>
      <c r="T99" t="str">
        <f t="shared" si="13"/>
        <v>Safe</v>
      </c>
    </row>
    <row r="100" spans="1:20" x14ac:dyDescent="0.25">
      <c r="A100" t="s">
        <v>153</v>
      </c>
      <c r="B100" t="s">
        <v>407</v>
      </c>
      <c r="C100" t="s">
        <v>15</v>
      </c>
      <c r="D100">
        <v>90</v>
      </c>
      <c r="E100">
        <v>55</v>
      </c>
      <c r="F100">
        <v>67</v>
      </c>
      <c r="G100">
        <f t="shared" si="8"/>
        <v>212</v>
      </c>
      <c r="H100" s="2">
        <f t="shared" si="7"/>
        <v>70.666666666666671</v>
      </c>
      <c r="I100">
        <f t="shared" si="9"/>
        <v>3</v>
      </c>
      <c r="J100">
        <v>79</v>
      </c>
      <c r="K100">
        <v>211.1</v>
      </c>
      <c r="L100" s="7" t="b">
        <v>1</v>
      </c>
      <c r="M100" s="8" t="b">
        <v>0</v>
      </c>
      <c r="N100" s="7" t="b">
        <v>1</v>
      </c>
      <c r="O100" s="8" t="b">
        <v>1</v>
      </c>
      <c r="P100" s="7" t="b">
        <v>0</v>
      </c>
      <c r="Q100">
        <f t="shared" si="10"/>
        <v>3</v>
      </c>
      <c r="R100">
        <f t="shared" si="11"/>
        <v>2</v>
      </c>
      <c r="S100" s="11">
        <f t="shared" si="12"/>
        <v>60</v>
      </c>
      <c r="T100" t="str">
        <f t="shared" si="13"/>
        <v>Warning</v>
      </c>
    </row>
    <row r="101" spans="1:20" x14ac:dyDescent="0.25">
      <c r="A101" t="s">
        <v>60</v>
      </c>
      <c r="B101" t="s">
        <v>408</v>
      </c>
      <c r="C101" t="s">
        <v>25</v>
      </c>
      <c r="D101">
        <v>81</v>
      </c>
      <c r="E101">
        <v>65</v>
      </c>
      <c r="F101">
        <v>69</v>
      </c>
      <c r="G101">
        <f t="shared" si="8"/>
        <v>215</v>
      </c>
      <c r="H101" s="2">
        <f t="shared" si="7"/>
        <v>71.666666666666671</v>
      </c>
      <c r="I101">
        <f t="shared" si="9"/>
        <v>3</v>
      </c>
      <c r="J101">
        <v>68</v>
      </c>
      <c r="K101">
        <v>211.1</v>
      </c>
      <c r="L101" s="7" t="b">
        <v>1</v>
      </c>
      <c r="M101" s="8" t="b">
        <v>1</v>
      </c>
      <c r="N101" s="7" t="b">
        <v>1</v>
      </c>
      <c r="O101" s="8" t="b">
        <v>0</v>
      </c>
      <c r="P101" s="7" t="b">
        <v>1</v>
      </c>
      <c r="Q101">
        <f t="shared" si="10"/>
        <v>4</v>
      </c>
      <c r="R101">
        <f t="shared" si="11"/>
        <v>1</v>
      </c>
      <c r="S101" s="11">
        <f t="shared" si="12"/>
        <v>80</v>
      </c>
      <c r="T101" t="str">
        <f t="shared" si="13"/>
        <v>Safe</v>
      </c>
    </row>
    <row r="102" spans="1:20" x14ac:dyDescent="0.25">
      <c r="A102" t="s">
        <v>57</v>
      </c>
      <c r="B102" t="s">
        <v>409</v>
      </c>
      <c r="C102" t="s">
        <v>25</v>
      </c>
      <c r="D102">
        <v>83</v>
      </c>
      <c r="E102">
        <v>87</v>
      </c>
      <c r="F102">
        <v>68</v>
      </c>
      <c r="G102">
        <f t="shared" si="8"/>
        <v>238</v>
      </c>
      <c r="H102" s="2">
        <f t="shared" si="7"/>
        <v>79.333333333333329</v>
      </c>
      <c r="I102">
        <f t="shared" si="9"/>
        <v>3</v>
      </c>
      <c r="J102">
        <v>66</v>
      </c>
      <c r="K102">
        <v>211.1</v>
      </c>
      <c r="L102" s="7" t="b">
        <v>1</v>
      </c>
      <c r="M102" s="8" t="b">
        <v>1</v>
      </c>
      <c r="N102" s="7" t="b">
        <v>1</v>
      </c>
      <c r="O102" s="8" t="b">
        <v>1</v>
      </c>
      <c r="P102" s="7" t="b">
        <v>0</v>
      </c>
      <c r="Q102">
        <f t="shared" si="10"/>
        <v>4</v>
      </c>
      <c r="R102">
        <f t="shared" si="11"/>
        <v>1</v>
      </c>
      <c r="S102" s="11">
        <f t="shared" si="12"/>
        <v>80</v>
      </c>
      <c r="T102" t="str">
        <f t="shared" si="13"/>
        <v>Safe</v>
      </c>
    </row>
    <row r="103" spans="1:20" x14ac:dyDescent="0.25">
      <c r="A103" t="s">
        <v>176</v>
      </c>
      <c r="B103" t="s">
        <v>410</v>
      </c>
      <c r="C103" t="s">
        <v>52</v>
      </c>
      <c r="D103">
        <v>63</v>
      </c>
      <c r="E103">
        <v>96</v>
      </c>
      <c r="F103">
        <v>85</v>
      </c>
      <c r="G103">
        <f t="shared" si="8"/>
        <v>244</v>
      </c>
      <c r="H103" s="2">
        <f t="shared" si="7"/>
        <v>81.333333333333329</v>
      </c>
      <c r="I103">
        <f t="shared" si="9"/>
        <v>3.7</v>
      </c>
      <c r="J103">
        <v>68</v>
      </c>
      <c r="K103">
        <v>211.1</v>
      </c>
      <c r="L103" s="7" t="b">
        <v>1</v>
      </c>
      <c r="M103" s="8" t="b">
        <v>0</v>
      </c>
      <c r="N103" s="7" t="b">
        <v>1</v>
      </c>
      <c r="O103" s="8" t="b">
        <v>1</v>
      </c>
      <c r="P103" s="7" t="b">
        <v>1</v>
      </c>
      <c r="Q103">
        <f t="shared" si="10"/>
        <v>4</v>
      </c>
      <c r="R103">
        <f t="shared" si="11"/>
        <v>1</v>
      </c>
      <c r="S103" s="12">
        <f t="shared" si="12"/>
        <v>80</v>
      </c>
      <c r="T103" t="str">
        <f t="shared" si="13"/>
        <v>Safe</v>
      </c>
    </row>
  </sheetData>
  <mergeCells count="1">
    <mergeCell ref="L1:P2"/>
  </mergeCells>
  <phoneticPr fontId="2" type="noConversion"/>
  <conditionalFormatting sqref="S4:S103">
    <cfRule type="cellIs" dxfId="6" priority="4" operator="lessThan">
      <formula>75</formula>
    </cfRule>
    <cfRule type="aboveAverage" priority="5" aboveAverage="0"/>
  </conditionalFormatting>
  <conditionalFormatting sqref="T4:T103">
    <cfRule type="cellIs" dxfId="0" priority="3" operator="equal">
      <formula>"critical"</formula>
    </cfRule>
    <cfRule type="cellIs" dxfId="1" priority="2" operator="equal">
      <formula>"warning"</formula>
    </cfRule>
    <cfRule type="cellIs" dxfId="2" priority="1" operator="equal">
      <formula>"safe"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3"/>
  <sheetViews>
    <sheetView workbookViewId="0"/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  <c r="AD1" s="1" t="s">
        <v>205</v>
      </c>
      <c r="AE1" s="1" t="s">
        <v>206</v>
      </c>
      <c r="AF1" s="1" t="s">
        <v>207</v>
      </c>
      <c r="AG1" s="1" t="s">
        <v>208</v>
      </c>
      <c r="AH1" s="1" t="s">
        <v>209</v>
      </c>
    </row>
    <row r="2" spans="1:34" x14ac:dyDescent="0.25">
      <c r="A2" t="s">
        <v>210</v>
      </c>
      <c r="B2" t="s">
        <v>11</v>
      </c>
    </row>
    <row r="3" spans="1:34" x14ac:dyDescent="0.25">
      <c r="A3" t="s">
        <v>211</v>
      </c>
      <c r="B3" t="s">
        <v>14</v>
      </c>
    </row>
    <row r="4" spans="1:34" x14ac:dyDescent="0.25">
      <c r="A4" t="s">
        <v>212</v>
      </c>
      <c r="B4" t="s">
        <v>17</v>
      </c>
    </row>
    <row r="5" spans="1:34" x14ac:dyDescent="0.25">
      <c r="A5" t="s">
        <v>213</v>
      </c>
      <c r="B5" t="s">
        <v>20</v>
      </c>
    </row>
    <row r="6" spans="1:34" x14ac:dyDescent="0.25">
      <c r="A6" t="s">
        <v>214</v>
      </c>
      <c r="B6" t="s">
        <v>22</v>
      </c>
    </row>
    <row r="7" spans="1:34" x14ac:dyDescent="0.25">
      <c r="A7" t="s">
        <v>215</v>
      </c>
      <c r="B7" t="s">
        <v>24</v>
      </c>
    </row>
    <row r="8" spans="1:34" x14ac:dyDescent="0.25">
      <c r="A8" t="s">
        <v>216</v>
      </c>
      <c r="B8" t="s">
        <v>27</v>
      </c>
    </row>
    <row r="9" spans="1:34" x14ac:dyDescent="0.25">
      <c r="A9" t="s">
        <v>217</v>
      </c>
      <c r="B9" t="s">
        <v>29</v>
      </c>
    </row>
    <row r="10" spans="1:34" x14ac:dyDescent="0.25">
      <c r="A10" t="s">
        <v>218</v>
      </c>
      <c r="B10" t="s">
        <v>31</v>
      </c>
    </row>
    <row r="11" spans="1:34" x14ac:dyDescent="0.25">
      <c r="A11" t="s">
        <v>219</v>
      </c>
      <c r="B11" t="s">
        <v>33</v>
      </c>
    </row>
    <row r="12" spans="1:34" x14ac:dyDescent="0.25">
      <c r="A12" t="s">
        <v>220</v>
      </c>
      <c r="B12" t="s">
        <v>35</v>
      </c>
    </row>
    <row r="13" spans="1:34" x14ac:dyDescent="0.25">
      <c r="A13" t="s">
        <v>221</v>
      </c>
      <c r="B13" t="s">
        <v>37</v>
      </c>
    </row>
    <row r="14" spans="1:34" x14ac:dyDescent="0.25">
      <c r="A14" t="s">
        <v>222</v>
      </c>
      <c r="B14" t="s">
        <v>39</v>
      </c>
    </row>
    <row r="15" spans="1:34" x14ac:dyDescent="0.25">
      <c r="A15" t="s">
        <v>223</v>
      </c>
      <c r="B15" t="s">
        <v>41</v>
      </c>
    </row>
    <row r="16" spans="1:34" x14ac:dyDescent="0.25">
      <c r="A16" t="s">
        <v>224</v>
      </c>
      <c r="B16" t="s">
        <v>43</v>
      </c>
    </row>
    <row r="17" spans="1:2" x14ac:dyDescent="0.25">
      <c r="A17" t="s">
        <v>225</v>
      </c>
      <c r="B17" t="s">
        <v>45</v>
      </c>
    </row>
    <row r="18" spans="1:2" x14ac:dyDescent="0.25">
      <c r="A18" t="s">
        <v>226</v>
      </c>
      <c r="B18" t="s">
        <v>47</v>
      </c>
    </row>
    <row r="19" spans="1:2" x14ac:dyDescent="0.25">
      <c r="A19" t="s">
        <v>227</v>
      </c>
      <c r="B19" t="s">
        <v>49</v>
      </c>
    </row>
    <row r="20" spans="1:2" x14ac:dyDescent="0.25">
      <c r="A20" t="s">
        <v>228</v>
      </c>
      <c r="B20" t="s">
        <v>51</v>
      </c>
    </row>
    <row r="21" spans="1:2" x14ac:dyDescent="0.25">
      <c r="A21" t="s">
        <v>229</v>
      </c>
      <c r="B21" t="s">
        <v>54</v>
      </c>
    </row>
    <row r="22" spans="1:2" x14ac:dyDescent="0.25">
      <c r="A22" t="s">
        <v>230</v>
      </c>
      <c r="B22" t="s">
        <v>56</v>
      </c>
    </row>
    <row r="23" spans="1:2" x14ac:dyDescent="0.25">
      <c r="A23" t="s">
        <v>231</v>
      </c>
      <c r="B23" t="s">
        <v>58</v>
      </c>
    </row>
    <row r="24" spans="1:2" x14ac:dyDescent="0.25">
      <c r="A24" t="s">
        <v>232</v>
      </c>
      <c r="B24" t="s">
        <v>59</v>
      </c>
    </row>
    <row r="25" spans="1:2" x14ac:dyDescent="0.25">
      <c r="A25" t="s">
        <v>233</v>
      </c>
      <c r="B25" t="s">
        <v>61</v>
      </c>
    </row>
    <row r="26" spans="1:2" x14ac:dyDescent="0.25">
      <c r="A26" t="s">
        <v>234</v>
      </c>
      <c r="B26" t="s">
        <v>63</v>
      </c>
    </row>
    <row r="27" spans="1:2" x14ac:dyDescent="0.25">
      <c r="A27" t="s">
        <v>235</v>
      </c>
      <c r="B27" t="s">
        <v>65</v>
      </c>
    </row>
    <row r="28" spans="1:2" x14ac:dyDescent="0.25">
      <c r="A28" t="s">
        <v>236</v>
      </c>
      <c r="B28" t="s">
        <v>67</v>
      </c>
    </row>
    <row r="29" spans="1:2" x14ac:dyDescent="0.25">
      <c r="A29" t="s">
        <v>237</v>
      </c>
      <c r="B29" t="s">
        <v>68</v>
      </c>
    </row>
    <row r="30" spans="1:2" x14ac:dyDescent="0.25">
      <c r="A30" t="s">
        <v>238</v>
      </c>
      <c r="B30" t="s">
        <v>70</v>
      </c>
    </row>
    <row r="31" spans="1:2" x14ac:dyDescent="0.25">
      <c r="A31" t="s">
        <v>239</v>
      </c>
      <c r="B31" t="s">
        <v>72</v>
      </c>
    </row>
    <row r="32" spans="1:2" x14ac:dyDescent="0.25">
      <c r="A32" t="s">
        <v>240</v>
      </c>
      <c r="B32" t="s">
        <v>74</v>
      </c>
    </row>
    <row r="33" spans="1:2" x14ac:dyDescent="0.25">
      <c r="A33" t="s">
        <v>241</v>
      </c>
      <c r="B33" t="s">
        <v>76</v>
      </c>
    </row>
    <row r="34" spans="1:2" x14ac:dyDescent="0.25">
      <c r="A34" t="s">
        <v>242</v>
      </c>
      <c r="B34" t="s">
        <v>78</v>
      </c>
    </row>
    <row r="35" spans="1:2" x14ac:dyDescent="0.25">
      <c r="A35" t="s">
        <v>243</v>
      </c>
      <c r="B35" t="s">
        <v>80</v>
      </c>
    </row>
    <row r="36" spans="1:2" x14ac:dyDescent="0.25">
      <c r="A36" t="s">
        <v>244</v>
      </c>
      <c r="B36" t="s">
        <v>81</v>
      </c>
    </row>
    <row r="37" spans="1:2" x14ac:dyDescent="0.25">
      <c r="A37" t="s">
        <v>245</v>
      </c>
      <c r="B37" t="s">
        <v>83</v>
      </c>
    </row>
    <row r="38" spans="1:2" x14ac:dyDescent="0.25">
      <c r="A38" t="s">
        <v>246</v>
      </c>
      <c r="B38" t="s">
        <v>85</v>
      </c>
    </row>
    <row r="39" spans="1:2" x14ac:dyDescent="0.25">
      <c r="A39" t="s">
        <v>247</v>
      </c>
      <c r="B39" t="s">
        <v>86</v>
      </c>
    </row>
    <row r="40" spans="1:2" x14ac:dyDescent="0.25">
      <c r="A40" t="s">
        <v>248</v>
      </c>
      <c r="B40" t="s">
        <v>88</v>
      </c>
    </row>
    <row r="41" spans="1:2" x14ac:dyDescent="0.25">
      <c r="A41" t="s">
        <v>249</v>
      </c>
      <c r="B41" t="s">
        <v>90</v>
      </c>
    </row>
    <row r="42" spans="1:2" x14ac:dyDescent="0.25">
      <c r="A42" t="s">
        <v>250</v>
      </c>
      <c r="B42" t="s">
        <v>92</v>
      </c>
    </row>
    <row r="43" spans="1:2" x14ac:dyDescent="0.25">
      <c r="A43" t="s">
        <v>251</v>
      </c>
      <c r="B43" t="s">
        <v>94</v>
      </c>
    </row>
    <row r="44" spans="1:2" x14ac:dyDescent="0.25">
      <c r="A44" t="s">
        <v>252</v>
      </c>
      <c r="B44" t="s">
        <v>95</v>
      </c>
    </row>
    <row r="45" spans="1:2" x14ac:dyDescent="0.25">
      <c r="A45" t="s">
        <v>253</v>
      </c>
      <c r="B45" t="s">
        <v>96</v>
      </c>
    </row>
    <row r="46" spans="1:2" x14ac:dyDescent="0.25">
      <c r="A46" t="s">
        <v>254</v>
      </c>
      <c r="B46" t="s">
        <v>97</v>
      </c>
    </row>
    <row r="47" spans="1:2" x14ac:dyDescent="0.25">
      <c r="A47" t="s">
        <v>255</v>
      </c>
      <c r="B47" t="s">
        <v>98</v>
      </c>
    </row>
    <row r="48" spans="1:2" x14ac:dyDescent="0.25">
      <c r="A48" t="s">
        <v>256</v>
      </c>
      <c r="B48" t="s">
        <v>99</v>
      </c>
    </row>
    <row r="49" spans="1:2" x14ac:dyDescent="0.25">
      <c r="A49" t="s">
        <v>257</v>
      </c>
      <c r="B49" t="s">
        <v>100</v>
      </c>
    </row>
    <row r="50" spans="1:2" x14ac:dyDescent="0.25">
      <c r="A50" t="s">
        <v>258</v>
      </c>
      <c r="B50" t="s">
        <v>102</v>
      </c>
    </row>
    <row r="51" spans="1:2" x14ac:dyDescent="0.25">
      <c r="A51" t="s">
        <v>259</v>
      </c>
      <c r="B51" t="s">
        <v>104</v>
      </c>
    </row>
    <row r="52" spans="1:2" x14ac:dyDescent="0.25">
      <c r="A52" t="s">
        <v>260</v>
      </c>
      <c r="B52" t="s">
        <v>106</v>
      </c>
    </row>
    <row r="53" spans="1:2" x14ac:dyDescent="0.25">
      <c r="A53" t="s">
        <v>261</v>
      </c>
      <c r="B53" t="s">
        <v>108</v>
      </c>
    </row>
    <row r="54" spans="1:2" x14ac:dyDescent="0.25">
      <c r="A54" t="s">
        <v>262</v>
      </c>
      <c r="B54" t="s">
        <v>110</v>
      </c>
    </row>
    <row r="55" spans="1:2" x14ac:dyDescent="0.25">
      <c r="A55" t="s">
        <v>263</v>
      </c>
      <c r="B55" t="s">
        <v>112</v>
      </c>
    </row>
    <row r="56" spans="1:2" x14ac:dyDescent="0.25">
      <c r="A56" t="s">
        <v>264</v>
      </c>
      <c r="B56" t="s">
        <v>113</v>
      </c>
    </row>
    <row r="57" spans="1:2" x14ac:dyDescent="0.25">
      <c r="A57" t="s">
        <v>265</v>
      </c>
      <c r="B57" t="s">
        <v>115</v>
      </c>
    </row>
    <row r="58" spans="1:2" x14ac:dyDescent="0.25">
      <c r="A58" t="s">
        <v>266</v>
      </c>
      <c r="B58" t="s">
        <v>116</v>
      </c>
    </row>
    <row r="59" spans="1:2" x14ac:dyDescent="0.25">
      <c r="A59" t="s">
        <v>267</v>
      </c>
      <c r="B59" t="s">
        <v>118</v>
      </c>
    </row>
    <row r="60" spans="1:2" x14ac:dyDescent="0.25">
      <c r="A60" t="s">
        <v>268</v>
      </c>
      <c r="B60" t="s">
        <v>119</v>
      </c>
    </row>
    <row r="61" spans="1:2" x14ac:dyDescent="0.25">
      <c r="A61" t="s">
        <v>269</v>
      </c>
      <c r="B61" t="s">
        <v>120</v>
      </c>
    </row>
    <row r="62" spans="1:2" x14ac:dyDescent="0.25">
      <c r="A62" t="s">
        <v>270</v>
      </c>
      <c r="B62" t="s">
        <v>122</v>
      </c>
    </row>
    <row r="63" spans="1:2" x14ac:dyDescent="0.25">
      <c r="A63" t="s">
        <v>271</v>
      </c>
      <c r="B63" t="s">
        <v>124</v>
      </c>
    </row>
    <row r="64" spans="1:2" x14ac:dyDescent="0.25">
      <c r="A64" t="s">
        <v>272</v>
      </c>
      <c r="B64" t="s">
        <v>125</v>
      </c>
    </row>
    <row r="65" spans="1:2" x14ac:dyDescent="0.25">
      <c r="A65" t="s">
        <v>273</v>
      </c>
      <c r="B65" t="s">
        <v>126</v>
      </c>
    </row>
    <row r="66" spans="1:2" x14ac:dyDescent="0.25">
      <c r="A66" t="s">
        <v>274</v>
      </c>
      <c r="B66" t="s">
        <v>128</v>
      </c>
    </row>
    <row r="67" spans="1:2" x14ac:dyDescent="0.25">
      <c r="A67" t="s">
        <v>275</v>
      </c>
      <c r="B67" t="s">
        <v>130</v>
      </c>
    </row>
    <row r="68" spans="1:2" x14ac:dyDescent="0.25">
      <c r="A68" t="s">
        <v>276</v>
      </c>
      <c r="B68" t="s">
        <v>131</v>
      </c>
    </row>
    <row r="69" spans="1:2" x14ac:dyDescent="0.25">
      <c r="A69" t="s">
        <v>277</v>
      </c>
      <c r="B69" t="s">
        <v>132</v>
      </c>
    </row>
    <row r="70" spans="1:2" x14ac:dyDescent="0.25">
      <c r="A70" t="s">
        <v>278</v>
      </c>
      <c r="B70" t="s">
        <v>134</v>
      </c>
    </row>
    <row r="71" spans="1:2" x14ac:dyDescent="0.25">
      <c r="A71" t="s">
        <v>279</v>
      </c>
      <c r="B71" t="s">
        <v>135</v>
      </c>
    </row>
    <row r="72" spans="1:2" x14ac:dyDescent="0.25">
      <c r="A72" t="s">
        <v>280</v>
      </c>
      <c r="B72" t="s">
        <v>137</v>
      </c>
    </row>
    <row r="73" spans="1:2" x14ac:dyDescent="0.25">
      <c r="A73" t="s">
        <v>281</v>
      </c>
      <c r="B73" t="s">
        <v>139</v>
      </c>
    </row>
    <row r="74" spans="1:2" x14ac:dyDescent="0.25">
      <c r="A74" t="s">
        <v>282</v>
      </c>
      <c r="B74" t="s">
        <v>140</v>
      </c>
    </row>
    <row r="75" spans="1:2" x14ac:dyDescent="0.25">
      <c r="A75" t="s">
        <v>283</v>
      </c>
      <c r="B75" t="s">
        <v>141</v>
      </c>
    </row>
    <row r="76" spans="1:2" x14ac:dyDescent="0.25">
      <c r="A76" t="s">
        <v>284</v>
      </c>
      <c r="B76" t="s">
        <v>143</v>
      </c>
    </row>
    <row r="77" spans="1:2" x14ac:dyDescent="0.25">
      <c r="A77" t="s">
        <v>285</v>
      </c>
      <c r="B77" t="s">
        <v>144</v>
      </c>
    </row>
    <row r="78" spans="1:2" x14ac:dyDescent="0.25">
      <c r="A78" t="s">
        <v>286</v>
      </c>
      <c r="B78" t="s">
        <v>146</v>
      </c>
    </row>
    <row r="79" spans="1:2" x14ac:dyDescent="0.25">
      <c r="A79" t="s">
        <v>287</v>
      </c>
      <c r="B79" t="s">
        <v>147</v>
      </c>
    </row>
    <row r="80" spans="1:2" x14ac:dyDescent="0.25">
      <c r="A80" t="s">
        <v>288</v>
      </c>
      <c r="B80" t="s">
        <v>148</v>
      </c>
    </row>
    <row r="81" spans="1:2" x14ac:dyDescent="0.25">
      <c r="A81" t="s">
        <v>289</v>
      </c>
      <c r="B81" t="s">
        <v>150</v>
      </c>
    </row>
    <row r="82" spans="1:2" x14ac:dyDescent="0.25">
      <c r="A82" t="s">
        <v>290</v>
      </c>
      <c r="B82" t="s">
        <v>151</v>
      </c>
    </row>
    <row r="83" spans="1:2" x14ac:dyDescent="0.25">
      <c r="A83" t="s">
        <v>291</v>
      </c>
      <c r="B83" t="s">
        <v>152</v>
      </c>
    </row>
    <row r="84" spans="1:2" x14ac:dyDescent="0.25">
      <c r="A84" t="s">
        <v>292</v>
      </c>
      <c r="B84" t="s">
        <v>154</v>
      </c>
    </row>
    <row r="85" spans="1:2" x14ac:dyDescent="0.25">
      <c r="A85" t="s">
        <v>293</v>
      </c>
      <c r="B85" t="s">
        <v>155</v>
      </c>
    </row>
    <row r="86" spans="1:2" x14ac:dyDescent="0.25">
      <c r="A86" t="s">
        <v>294</v>
      </c>
      <c r="B86" t="s">
        <v>156</v>
      </c>
    </row>
    <row r="87" spans="1:2" x14ac:dyDescent="0.25">
      <c r="A87" t="s">
        <v>295</v>
      </c>
      <c r="B87" t="s">
        <v>157</v>
      </c>
    </row>
    <row r="88" spans="1:2" x14ac:dyDescent="0.25">
      <c r="A88" t="s">
        <v>296</v>
      </c>
      <c r="B88" t="s">
        <v>158</v>
      </c>
    </row>
    <row r="89" spans="1:2" x14ac:dyDescent="0.25">
      <c r="A89" t="s">
        <v>297</v>
      </c>
      <c r="B89" t="s">
        <v>159</v>
      </c>
    </row>
    <row r="90" spans="1:2" x14ac:dyDescent="0.25">
      <c r="A90" t="s">
        <v>298</v>
      </c>
      <c r="B90" t="s">
        <v>161</v>
      </c>
    </row>
    <row r="91" spans="1:2" x14ac:dyDescent="0.25">
      <c r="A91" t="s">
        <v>299</v>
      </c>
      <c r="B91" t="s">
        <v>162</v>
      </c>
    </row>
    <row r="92" spans="1:2" x14ac:dyDescent="0.25">
      <c r="A92" t="s">
        <v>300</v>
      </c>
      <c r="B92" t="s">
        <v>164</v>
      </c>
    </row>
    <row r="93" spans="1:2" x14ac:dyDescent="0.25">
      <c r="A93" t="s">
        <v>301</v>
      </c>
      <c r="B93" t="s">
        <v>165</v>
      </c>
    </row>
    <row r="94" spans="1:2" x14ac:dyDescent="0.25">
      <c r="A94" t="s">
        <v>302</v>
      </c>
      <c r="B94" t="s">
        <v>167</v>
      </c>
    </row>
    <row r="95" spans="1:2" x14ac:dyDescent="0.25">
      <c r="A95" t="s">
        <v>303</v>
      </c>
      <c r="B95" t="s">
        <v>169</v>
      </c>
    </row>
    <row r="96" spans="1:2" x14ac:dyDescent="0.25">
      <c r="A96" t="s">
        <v>304</v>
      </c>
      <c r="B96" t="s">
        <v>171</v>
      </c>
    </row>
    <row r="97" spans="1:33" x14ac:dyDescent="0.25">
      <c r="A97" t="s">
        <v>305</v>
      </c>
      <c r="B97" t="s">
        <v>172</v>
      </c>
    </row>
    <row r="98" spans="1:33" x14ac:dyDescent="0.25">
      <c r="A98" t="s">
        <v>306</v>
      </c>
      <c r="B98" t="s">
        <v>173</v>
      </c>
    </row>
    <row r="99" spans="1:33" x14ac:dyDescent="0.25">
      <c r="A99" t="s">
        <v>307</v>
      </c>
      <c r="B99" t="s">
        <v>174</v>
      </c>
    </row>
    <row r="100" spans="1:33" x14ac:dyDescent="0.25">
      <c r="A100" t="s">
        <v>308</v>
      </c>
      <c r="B100" t="s">
        <v>175</v>
      </c>
    </row>
    <row r="101" spans="1:33" x14ac:dyDescent="0.25">
      <c r="A101" t="s">
        <v>309</v>
      </c>
      <c r="B101" t="s">
        <v>177</v>
      </c>
    </row>
    <row r="103" spans="1:33" x14ac:dyDescent="0.25">
      <c r="AG103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Sudais Khan</cp:lastModifiedBy>
  <dcterms:created xsi:type="dcterms:W3CDTF">2026-01-04T06:10:25Z</dcterms:created>
  <dcterms:modified xsi:type="dcterms:W3CDTF">2026-01-04T08:10:26Z</dcterms:modified>
</cp:coreProperties>
</file>